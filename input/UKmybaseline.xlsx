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ropbox\AG PhD\UK SFC Model\DEFINE-UK V1.0\"/>
    </mc:Choice>
  </mc:AlternateContent>
  <xr:revisionPtr revIDLastSave="0" documentId="13_ncr:1_{7F771DFA-26DB-4C7A-80C1-A548AB18CC1D}" xr6:coauthVersionLast="47" xr6:coauthVersionMax="47" xr10:uidLastSave="{00000000-0000-0000-0000-000000000000}"/>
  <bookViews>
    <workbookView xWindow="3825" yWindow="1845" windowWidth="21600" windowHeight="11385" xr2:uid="{A9397823-B225-4E66-AAC2-5844F976F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55" i="1"/>
  <c r="C56" i="1"/>
  <c r="D56" i="1"/>
  <c r="E56" i="1"/>
  <c r="F56" i="1"/>
  <c r="G56" i="1"/>
  <c r="H56" i="1"/>
  <c r="I56" i="1"/>
  <c r="J56" i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K56" i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L56" i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M56" i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C57" i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D57" i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F57" i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G57" i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H57" i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I57" i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C55" i="1"/>
  <c r="D55" i="1"/>
  <c r="E55" i="1"/>
  <c r="F55" i="1"/>
  <c r="G55" i="1"/>
  <c r="H55" i="1"/>
  <c r="I55" i="1"/>
  <c r="J55" i="1"/>
  <c r="K55" i="1"/>
  <c r="L55" i="1"/>
  <c r="M55" i="1"/>
</calcChain>
</file>

<file path=xl/sharedStrings.xml><?xml version="1.0" encoding="utf-8"?>
<sst xmlns="http://schemas.openxmlformats.org/spreadsheetml/2006/main" count="137" uniqueCount="137">
  <si>
    <t>Title</t>
  </si>
  <si>
    <t>Source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</si>
  <si>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</si>
  <si>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</si>
  <si>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</si>
  <si>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</si>
  <si>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</si>
  <si>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</si>
  <si>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</si>
  <si>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</si>
  <si>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</si>
  <si>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</si>
  <si>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</si>
  <si>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</si>
  <si>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</si>
  <si>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</si>
  <si>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</si>
  <si>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</si>
  <si>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</si>
  <si>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</si>
  <si>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</si>
  <si>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</si>
  <si>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</si>
  <si>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</si>
  <si>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</si>
  <si>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</si>
  <si>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</si>
  <si>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</si>
  <si>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</si>
  <si>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</si>
  <si>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</si>
  <si>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</si>
  <si>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</si>
  <si>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</si>
  <si>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</si>
  <si>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</si>
  <si>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</si>
  <si>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</si>
  <si>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</si>
  <si>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</si>
  <si>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</si>
  <si>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</si>
  <si>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</si>
  <si>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</si>
  <si>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</si>
  <si>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</si>
  <si>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</si>
  <si>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</si>
  <si>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</si>
  <si>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</si>
  <si>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</si>
  <si>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</si>
  <si>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</si>
  <si>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</si>
  <si>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Exp_DD</t>
  </si>
  <si>
    <t>OBR estimate of ratio of exports to domestic demand</t>
  </si>
  <si>
    <t>LF_OBR</t>
  </si>
  <si>
    <t>OBR estimate of size of the labour force</t>
  </si>
  <si>
    <t>P_IgOBR</t>
  </si>
  <si>
    <t>OBR estimate of the quarterly growth rate of import prices</t>
  </si>
  <si>
    <t>EXP_gOBR</t>
  </si>
  <si>
    <t>P_ETSB</t>
  </si>
  <si>
    <t>UK ETS trading price projections from: Traded carbon values used for modelling purposes, 2024 - adjusted to 2022 prices</t>
  </si>
  <si>
    <t>P_GAS</t>
  </si>
  <si>
    <t>P_OIL</t>
  </si>
  <si>
    <t>Gas price fron OBR converted from pence per therm to £bn/TwH</t>
  </si>
  <si>
    <t>OBR estimate of the quarterly growth rate of real exports</t>
  </si>
  <si>
    <t>Import intesity of final expenditure growth</t>
  </si>
  <si>
    <t>alpha_IMPg</t>
  </si>
  <si>
    <t>GCF_GVTgr</t>
  </si>
  <si>
    <t>OBR estimate of real government GCF growth</t>
  </si>
  <si>
    <t>Pop</t>
  </si>
  <si>
    <t>OBR population (16+) millions</t>
  </si>
  <si>
    <t>Gas price fron OBR converted from $per barrel to £bn/TwH (smoothed for initial projection)</t>
  </si>
  <si>
    <t>GDP_rgOBR</t>
  </si>
  <si>
    <t>P_IOBRPROP</t>
  </si>
  <si>
    <t>Import Price relative to domestic prices based on OBR forecasts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</si>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</sst>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D9C9-A9F0-472D-A72A-D86EA1C6BBAF}">
  <dimension ref="A1:M114"/>
  <sheetViews>
    <sheetView tabSelected="1" workbookViewId="0">
      <selection activeCell="M2" sqref="M2"/>
    </sheetView>
  </sheetViews>
  <sheetFormatPr defaultRowHeight="15" x14ac:dyDescent="0.25"/>
  <cols>
    <col min="2" max="2" width="20.42578125" customWidth="1"/>
    <col min="4" max="4" width="9" customWidth="1"/>
    <col min="10" max="10" width="17.42578125" customWidth="1"/>
  </cols>
  <sheetData>
    <row r="1" spans="1:13" x14ac:dyDescent="0.25">
      <c r="A1" t="s">
        <v>0</v>
      </c>
      <c r="B1" t="s">
        <v>54</v>
      </c>
      <c r="C1" t="s">
        <v>56</v>
      </c>
      <c r="D1" t="s">
        <v>58</v>
      </c>
      <c r="E1" t="s">
        <v>60</v>
      </c>
      <c r="F1" t="s">
        <v>61</v>
      </c>
      <c r="G1" t="s">
        <v>63</v>
      </c>
      <c r="H1" t="s">
        <v>64</v>
      </c>
      <c r="I1" t="s">
        <v>68</v>
      </c>
      <c r="J1" t="s">
        <v>69</v>
      </c>
      <c r="K1" t="s">
        <v>71</v>
      </c>
      <c r="L1" t="s">
        <v>74</v>
      </c>
      <c r="M1" t="s">
        <v>75</v>
      </c>
    </row>
    <row r="2" spans="1:13" x14ac:dyDescent="0.25">
      <c r="A2" t="s">
        <v>1</v>
      </c>
      <c r="B2" t="s">
        <v>55</v>
      </c>
      <c r="C2" t="s">
        <v>57</v>
      </c>
      <c r="D2" t="s">
        <v>59</v>
      </c>
      <c r="E2" t="s">
        <v>66</v>
      </c>
      <c r="F2" t="s">
        <v>62</v>
      </c>
      <c r="G2" t="s">
        <v>65</v>
      </c>
      <c r="H2" t="s">
        <v>73</v>
      </c>
      <c r="I2" t="s">
        <v>67</v>
      </c>
      <c r="J2" t="s">
        <v>70</v>
      </c>
      <c r="K2" t="s">
        <v>72</v>
      </c>
      <c r="M2" t="s">
        <v>76</v>
      </c>
    </row>
    <row r="3" spans="1:13" x14ac:dyDescent="0.25">
      <c r="A3" t="s">
        <v>2</v>
      </c>
      <c r="B3">
        <v>0.41526077303174452</v>
      </c>
      <c r="C3">
        <v>34.265304982952408</v>
      </c>
      <c r="D3">
        <v>1.0010714946742059</v>
      </c>
      <c r="E3">
        <v>0.9349594346481982</v>
      </c>
      <c r="F3">
        <v>5.8554183751879846E-2</v>
      </c>
      <c r="G3" s="1">
        <v>4.5051600000000004E-2</v>
      </c>
      <c r="H3">
        <v>4.8408859999999998E-2</v>
      </c>
      <c r="I3">
        <v>0.99561966770282262</v>
      </c>
      <c r="J3">
        <v>1.0336839810323213</v>
      </c>
      <c r="K3">
        <v>54.647000020803915</v>
      </c>
      <c r="L3">
        <v>1.0017481347947483</v>
      </c>
      <c r="M3">
        <v>1.0000796494108428</v>
      </c>
    </row>
    <row r="4" spans="1:13" x14ac:dyDescent="0.25">
      <c r="A4" t="s">
        <v>3</v>
      </c>
      <c r="B4">
        <v>0.38113756634088203</v>
      </c>
      <c r="C4">
        <v>34.303945592427013</v>
      </c>
      <c r="D4">
        <v>0.97575831897854004</v>
      </c>
      <c r="E4">
        <v>0.99763196113733643</v>
      </c>
      <c r="F4">
        <v>5.3107540250626584E-2</v>
      </c>
      <c r="G4" s="1">
        <v>2.9010499999999998E-2</v>
      </c>
      <c r="H4">
        <v>4.5891363999999997E-2</v>
      </c>
      <c r="I4">
        <v>0.99561966770282262</v>
      </c>
      <c r="J4">
        <v>0.98465594516214072</v>
      </c>
      <c r="K4">
        <v>54.74499998631493</v>
      </c>
      <c r="L4">
        <v>1.0000861119068163</v>
      </c>
      <c r="M4">
        <v>0.96553576372571692</v>
      </c>
    </row>
    <row r="5" spans="1:13" x14ac:dyDescent="0.25">
      <c r="A5" t="s">
        <v>4</v>
      </c>
      <c r="B5">
        <v>0.37215471381428389</v>
      </c>
      <c r="C5">
        <v>34.19099611306968</v>
      </c>
      <c r="D5">
        <v>0.99110486709432566</v>
      </c>
      <c r="E5">
        <v>0.99763196113733643</v>
      </c>
      <c r="F5">
        <v>4.767124283024253E-2</v>
      </c>
      <c r="G5" s="1">
        <v>2.8809474982364112E-2</v>
      </c>
      <c r="H5">
        <v>5.0614609999999997E-2</v>
      </c>
      <c r="I5">
        <v>0.99561966770282262</v>
      </c>
      <c r="J5">
        <v>1.0391453357609512</v>
      </c>
      <c r="K5">
        <v>54.844000033101246</v>
      </c>
      <c r="L5">
        <v>0.99880683775102097</v>
      </c>
      <c r="M5">
        <v>0.95651201502064864</v>
      </c>
    </row>
    <row r="6" spans="1:13" x14ac:dyDescent="0.25">
      <c r="A6" t="s">
        <v>5</v>
      </c>
      <c r="B6">
        <v>0.36651615345335836</v>
      </c>
      <c r="C6">
        <v>34.176134341064824</v>
      </c>
      <c r="D6">
        <v>1.0147027990647794</v>
      </c>
      <c r="E6">
        <v>0.99763196113733643</v>
      </c>
      <c r="F6">
        <v>4.2493597431587649E-2</v>
      </c>
      <c r="G6" s="1">
        <v>2.8609842945122067E-2</v>
      </c>
      <c r="H6">
        <v>4.8697078000000005E-2</v>
      </c>
      <c r="I6">
        <v>0.99561966770282262</v>
      </c>
      <c r="J6">
        <v>1.0280855449626385</v>
      </c>
      <c r="K6">
        <v>54.943000022235879</v>
      </c>
      <c r="L6">
        <v>0.99688422000819832</v>
      </c>
      <c r="M6">
        <v>0.96233517403027624</v>
      </c>
    </row>
    <row r="7" spans="1:13" x14ac:dyDescent="0.25">
      <c r="A7" t="s">
        <v>6</v>
      </c>
      <c r="B7">
        <v>0.36717018494834797</v>
      </c>
      <c r="C7">
        <v>34.165235705125049</v>
      </c>
      <c r="D7">
        <v>0.99790178685060182</v>
      </c>
      <c r="E7">
        <v>0.99763196113733643</v>
      </c>
      <c r="F7">
        <v>3.8060869855512713E-2</v>
      </c>
      <c r="G7" s="1">
        <v>2.8411594235771897E-2</v>
      </c>
      <c r="H7">
        <v>4.8197107999999995E-2</v>
      </c>
      <c r="I7">
        <v>0.99561966770282262</v>
      </c>
      <c r="J7">
        <v>0.99293233082706778</v>
      </c>
      <c r="K7">
        <v>55.042999975315809</v>
      </c>
      <c r="L7">
        <v>1.0071793387525458</v>
      </c>
      <c r="M7">
        <v>0.95827319867739047</v>
      </c>
    </row>
    <row r="8" spans="1:13" x14ac:dyDescent="0.25">
      <c r="A8" t="s">
        <v>7</v>
      </c>
      <c r="B8">
        <v>0.36044176127840327</v>
      </c>
      <c r="C8">
        <v>34.210811811377411</v>
      </c>
      <c r="D8">
        <v>1.0005855121251583</v>
      </c>
      <c r="E8">
        <v>0.99763196113733643</v>
      </c>
      <c r="F8">
        <v>3.4869671983737603E-2</v>
      </c>
      <c r="G8" s="1">
        <v>2.8214719268697574E-2</v>
      </c>
      <c r="H8">
        <v>4.9997E-2</v>
      </c>
      <c r="I8">
        <v>0.99561966770282262</v>
      </c>
      <c r="J8">
        <v>1.0264021404412136</v>
      </c>
      <c r="K8">
        <v>55.142999993166427</v>
      </c>
      <c r="L8">
        <v>1.005715847722247</v>
      </c>
      <c r="M8">
        <v>0.95334902343380645</v>
      </c>
    </row>
    <row r="9" spans="1:13" x14ac:dyDescent="0.25">
      <c r="A9" t="s">
        <v>8</v>
      </c>
      <c r="B9">
        <v>0.35841179165789144</v>
      </c>
      <c r="C9">
        <v>34.306356210270849</v>
      </c>
      <c r="D9">
        <v>0.98692768037059764</v>
      </c>
      <c r="E9">
        <v>0.99763196113733643</v>
      </c>
      <c r="F9">
        <v>3.3399269520384509E-2</v>
      </c>
      <c r="G9" s="1">
        <v>2.8019208524705519E-2</v>
      </c>
      <c r="H9">
        <v>4.6185463999999996E-2</v>
      </c>
      <c r="I9">
        <v>0.99561966770282262</v>
      </c>
      <c r="J9">
        <v>0.95209281428290349</v>
      </c>
      <c r="K9">
        <v>55.25926812853055</v>
      </c>
      <c r="L9">
        <v>1.0030898976315024</v>
      </c>
      <c r="M9">
        <v>0.93914860684316814</v>
      </c>
    </row>
    <row r="10" spans="1:13" x14ac:dyDescent="0.25">
      <c r="A10" t="s">
        <v>9</v>
      </c>
      <c r="B10">
        <v>0.35271434204861318</v>
      </c>
      <c r="C10">
        <v>34.390168728850881</v>
      </c>
      <c r="D10">
        <v>0.98537051340604864</v>
      </c>
      <c r="E10">
        <v>1.0009362887076085</v>
      </c>
      <c r="F10">
        <v>3.3729966084826181E-2</v>
      </c>
      <c r="G10" s="1">
        <v>2.7825052550564347E-2</v>
      </c>
      <c r="H10">
        <v>4.2632736000000004E-2</v>
      </c>
      <c r="I10">
        <v>0.99636255466283308</v>
      </c>
      <c r="J10">
        <v>0.9844934983847542</v>
      </c>
      <c r="K10">
        <v>55.375536218391154</v>
      </c>
      <c r="L10">
        <v>1.0043801509067187</v>
      </c>
      <c r="M10">
        <v>0.92252924912146106</v>
      </c>
    </row>
    <row r="11" spans="1:13" x14ac:dyDescent="0.25">
      <c r="A11" t="s">
        <v>10</v>
      </c>
      <c r="B11">
        <v>0.34462995162059379</v>
      </c>
      <c r="C11">
        <v>34.464562403938729</v>
      </c>
      <c r="D11">
        <v>0.99628149070612182</v>
      </c>
      <c r="E11">
        <v>1.0011872753326345</v>
      </c>
      <c r="F11">
        <v>3.5543103211685391E-2</v>
      </c>
      <c r="G11" s="1">
        <v>2.7632241958547781E-2</v>
      </c>
      <c r="H11">
        <v>4.2126884000000003E-2</v>
      </c>
      <c r="I11">
        <v>0.99601663264527618</v>
      </c>
      <c r="J11">
        <v>0.99516662410311574</v>
      </c>
      <c r="K11">
        <v>55.491804237553168</v>
      </c>
      <c r="L11">
        <v>1.0053985206624017</v>
      </c>
      <c r="M11">
        <v>0.91499594298483389</v>
      </c>
    </row>
    <row r="12" spans="1:13" x14ac:dyDescent="0.25">
      <c r="A12" t="s">
        <v>11</v>
      </c>
      <c r="B12">
        <v>0.3401356510277439</v>
      </c>
      <c r="C12">
        <v>34.531813865168481</v>
      </c>
      <c r="D12">
        <v>0.99809519578315875</v>
      </c>
      <c r="E12">
        <v>1.0013416285422461</v>
      </c>
      <c r="F12">
        <v>3.8502676257987513E-2</v>
      </c>
      <c r="G12" s="1">
        <v>2.7440767425980742E-2</v>
      </c>
      <c r="H12">
        <v>4.1926895999999998E-2</v>
      </c>
      <c r="I12">
        <v>0.99642495759954164</v>
      </c>
      <c r="J12">
        <v>1.0118304639759612</v>
      </c>
      <c r="K12">
        <v>55.608072389306976</v>
      </c>
      <c r="L12">
        <v>1.0055626508513194</v>
      </c>
      <c r="M12">
        <v>0.90983171798526463</v>
      </c>
    </row>
    <row r="13" spans="1:13" x14ac:dyDescent="0.25">
      <c r="A13" t="s">
        <v>12</v>
      </c>
      <c r="B13">
        <v>0.33705201587207284</v>
      </c>
      <c r="C13">
        <v>34.584300461212919</v>
      </c>
      <c r="D13">
        <v>0.99897668639836035</v>
      </c>
      <c r="E13">
        <v>1.0014023291682237</v>
      </c>
      <c r="F13">
        <v>4.227228601126614E-2</v>
      </c>
      <c r="G13" s="1">
        <v>2.7250619694788588E-2</v>
      </c>
      <c r="H13">
        <v>4.1732789999999999E-2</v>
      </c>
      <c r="I13">
        <v>0.99663919600348649</v>
      </c>
      <c r="J13">
        <v>1.0269377397005639</v>
      </c>
      <c r="K13">
        <v>55.710490273159927</v>
      </c>
      <c r="L13">
        <v>1.0053284497142754</v>
      </c>
      <c r="M13">
        <v>0.90531912112047741</v>
      </c>
    </row>
    <row r="14" spans="1:13" x14ac:dyDescent="0.25">
      <c r="A14" t="s">
        <v>13</v>
      </c>
      <c r="B14">
        <v>0.33408750851053876</v>
      </c>
      <c r="C14">
        <v>34.636980334831733</v>
      </c>
      <c r="D14">
        <v>1.000032719959191</v>
      </c>
      <c r="E14">
        <v>1.0014428838330285</v>
      </c>
      <c r="F14">
        <v>4.6506458160748429E-2</v>
      </c>
      <c r="G14" s="1">
        <v>2.7061789571049471E-2</v>
      </c>
      <c r="H14">
        <v>4.1538683999999999E-2</v>
      </c>
      <c r="I14">
        <v>0.99699166803101991</v>
      </c>
      <c r="J14">
        <v>1.0224449850043937</v>
      </c>
      <c r="K14">
        <v>55.812908188919586</v>
      </c>
      <c r="L14">
        <v>1.004883358415267</v>
      </c>
      <c r="M14">
        <v>0.90184995461724227</v>
      </c>
    </row>
    <row r="15" spans="1:13" x14ac:dyDescent="0.25">
      <c r="A15" t="s">
        <v>14</v>
      </c>
      <c r="B15">
        <v>0.33159148281335427</v>
      </c>
      <c r="C15">
        <v>34.689794340043711</v>
      </c>
      <c r="D15">
        <v>1.0011054088461766</v>
      </c>
      <c r="E15">
        <v>1.0010962540370938</v>
      </c>
      <c r="F15">
        <v>5.0850643297355169E-2</v>
      </c>
      <c r="G15" s="1">
        <v>2.6874267924549795E-2</v>
      </c>
      <c r="H15">
        <v>4.1373988E-2</v>
      </c>
      <c r="I15">
        <v>0.99764626416435553</v>
      </c>
      <c r="J15">
        <v>1.0123475684268477</v>
      </c>
      <c r="K15">
        <v>55.915326093031069</v>
      </c>
      <c r="L15">
        <v>1.0045078826636393</v>
      </c>
      <c r="M15">
        <v>0.89920998993497392</v>
      </c>
    </row>
    <row r="16" spans="1:13" x14ac:dyDescent="0.25">
      <c r="A16" t="s">
        <v>15</v>
      </c>
      <c r="B16">
        <v>0.3293277657730409</v>
      </c>
      <c r="C16">
        <v>34.744998297541258</v>
      </c>
      <c r="D16">
        <v>1.0008999750866019</v>
      </c>
      <c r="E16">
        <v>1.0009644417362111</v>
      </c>
      <c r="F16">
        <v>5.4949897442515556E-2</v>
      </c>
      <c r="G16" s="1">
        <v>2.6688045688342762E-2</v>
      </c>
      <c r="H16">
        <v>4.1221055999999999E-2</v>
      </c>
      <c r="I16">
        <v>0.99905071742405105</v>
      </c>
      <c r="J16">
        <v>1.0123830172941835</v>
      </c>
      <c r="K16">
        <v>56.0177440356685</v>
      </c>
      <c r="L16">
        <v>1.0040143407645257</v>
      </c>
      <c r="M16">
        <v>0.89665716754169345</v>
      </c>
    </row>
    <row r="17" spans="1:13" x14ac:dyDescent="0.25">
      <c r="A17" t="s">
        <v>16</v>
      </c>
      <c r="B17">
        <v>0.32708289929961226</v>
      </c>
      <c r="C17">
        <v>34.807176666490861</v>
      </c>
      <c r="D17">
        <v>1.0007064821812666</v>
      </c>
      <c r="E17">
        <v>1.0010037814250252</v>
      </c>
      <c r="F17">
        <v>5.8464622648613511E-2</v>
      </c>
      <c r="G17" s="1">
        <v>2.6503113858309967E-2</v>
      </c>
      <c r="H17">
        <v>4.1079888000000002E-2</v>
      </c>
      <c r="I17">
        <v>0.99935773551455687</v>
      </c>
      <c r="J17">
        <v>1.0078565016537613</v>
      </c>
      <c r="K17">
        <v>56.127279130987588</v>
      </c>
      <c r="L17">
        <v>1.0038658352056342</v>
      </c>
      <c r="M17">
        <v>0.89370086611722221</v>
      </c>
    </row>
    <row r="18" spans="1:13" x14ac:dyDescent="0.25">
      <c r="A18" t="s">
        <v>17</v>
      </c>
      <c r="B18">
        <v>0.32489185292379497</v>
      </c>
      <c r="C18">
        <v>34.870014555584369</v>
      </c>
      <c r="D18">
        <v>1.0016267983150009</v>
      </c>
      <c r="E18">
        <v>1.0010220095892188</v>
      </c>
      <c r="F18">
        <v>6.1408179679992674E-2</v>
      </c>
      <c r="G18" s="1">
        <v>2.6319463492726035E-2</v>
      </c>
      <c r="H18">
        <v>4.0991658E-2</v>
      </c>
      <c r="I18">
        <v>0.99942231120042779</v>
      </c>
      <c r="J18">
        <v>1.0060236808941274</v>
      </c>
      <c r="K18">
        <v>56.236814144935884</v>
      </c>
      <c r="L18">
        <v>1.0037949226272205</v>
      </c>
      <c r="M18">
        <v>0.89149939462726513</v>
      </c>
    </row>
    <row r="19" spans="1:13" x14ac:dyDescent="0.25">
      <c r="A19" t="s">
        <v>18</v>
      </c>
      <c r="B19">
        <v>0.32282466674553573</v>
      </c>
      <c r="C19">
        <v>34.933806981021263</v>
      </c>
      <c r="D19">
        <v>1.0017790792347274</v>
      </c>
      <c r="E19">
        <v>1.0009422855575147</v>
      </c>
      <c r="F19">
        <v>6.414688801295633E-2</v>
      </c>
      <c r="G19" s="1">
        <v>2.6137085711826283E-2</v>
      </c>
      <c r="H19">
        <v>4.0921073999999995E-2</v>
      </c>
      <c r="I19">
        <v>0.99937497333081826</v>
      </c>
      <c r="J19">
        <v>1.0005207826810212</v>
      </c>
      <c r="K19">
        <v>56.346349189941712</v>
      </c>
      <c r="L19">
        <v>1.0038720961573331</v>
      </c>
      <c r="M19">
        <v>0.88932017900358062</v>
      </c>
    </row>
    <row r="20" spans="1:13" x14ac:dyDescent="0.25">
      <c r="A20" t="s">
        <v>19</v>
      </c>
      <c r="B20">
        <v>0.32093207056785561</v>
      </c>
      <c r="C20">
        <v>34.998573916577115</v>
      </c>
      <c r="D20">
        <v>1.0028208428678331</v>
      </c>
      <c r="E20">
        <v>1.0008791512793702</v>
      </c>
      <c r="F20">
        <v>6.7062413154762662E-2</v>
      </c>
      <c r="G20" s="1">
        <v>2.5955971697377359E-2</v>
      </c>
      <c r="H20">
        <v>4.0891663999999994E-2</v>
      </c>
      <c r="I20">
        <v>0.99856350573016717</v>
      </c>
      <c r="J20">
        <v>0.99939094561745623</v>
      </c>
      <c r="K20">
        <v>56.455884205520377</v>
      </c>
      <c r="L20">
        <v>1.003858790641422</v>
      </c>
      <c r="M20">
        <v>0.88792073948089856</v>
      </c>
    </row>
    <row r="21" spans="1:13" x14ac:dyDescent="0.25">
      <c r="A21" t="s">
        <v>20</v>
      </c>
      <c r="B21">
        <v>0.31927609307468968</v>
      </c>
      <c r="C21">
        <v>35.061399218037273</v>
      </c>
      <c r="D21">
        <v>1.0032039844808469</v>
      </c>
      <c r="E21">
        <v>1.001366927892152</v>
      </c>
      <c r="F21">
        <v>7.0513004516740752E-2</v>
      </c>
      <c r="G21" s="1">
        <v>2.5776112692250875E-2</v>
      </c>
      <c r="H21">
        <v>4.0850490000000003E-2</v>
      </c>
      <c r="I21">
        <v>0.99879330387169352</v>
      </c>
      <c r="J21">
        <v>1.0004442207536226</v>
      </c>
      <c r="K21">
        <v>56.564361894670199</v>
      </c>
      <c r="L21">
        <v>1.0038051517769702</v>
      </c>
      <c r="M21">
        <v>0.88681450193032874</v>
      </c>
    </row>
    <row r="22" spans="1:13" x14ac:dyDescent="0.25">
      <c r="A22" t="s">
        <v>21</v>
      </c>
      <c r="B22">
        <v>0.31790876568103954</v>
      </c>
      <c r="C22">
        <v>35.122770657027878</v>
      </c>
      <c r="D22">
        <v>1.0028839502272606</v>
      </c>
      <c r="E22">
        <v>1.001481439926645</v>
      </c>
      <c r="F22">
        <v>7.4318341303851274E-2</v>
      </c>
      <c r="G22" s="1">
        <v>2.5597499999999988E-2</v>
      </c>
      <c r="H22">
        <v>4.0762259999999995E-2</v>
      </c>
      <c r="I22">
        <v>0.99888456697000161</v>
      </c>
      <c r="J22">
        <v>0.99621537322977471</v>
      </c>
      <c r="K22">
        <v>56.672839659262699</v>
      </c>
      <c r="L22">
        <v>1.0037904309110193</v>
      </c>
      <c r="M22">
        <v>0.88539890617372596</v>
      </c>
    </row>
    <row r="23" spans="1:13" x14ac:dyDescent="0.25">
      <c r="A23" t="s">
        <v>22</v>
      </c>
      <c r="B23">
        <v>0.316634493652178</v>
      </c>
      <c r="C23">
        <v>35.182223869065091</v>
      </c>
      <c r="D23">
        <v>1.0033447288295154</v>
      </c>
      <c r="E23">
        <v>1.0014002147301111</v>
      </c>
      <c r="F23">
        <v>7.7759532514686674E-2</v>
      </c>
      <c r="G23" s="1">
        <v>2.5420124984438915E-2</v>
      </c>
      <c r="H23">
        <v>4.0962248E-2</v>
      </c>
      <c r="I23">
        <v>0.9989163534764679</v>
      </c>
      <c r="J23">
        <v>0.99660765268062168</v>
      </c>
      <c r="K23">
        <v>56.781317292645483</v>
      </c>
      <c r="L23">
        <v>1.0037572844159457</v>
      </c>
      <c r="M23">
        <v>0.88431506869683518</v>
      </c>
    </row>
    <row r="24" spans="1:13" x14ac:dyDescent="0.25">
      <c r="A24" t="s">
        <v>23</v>
      </c>
      <c r="B24">
        <v>0.31541805558677394</v>
      </c>
      <c r="C24">
        <v>35.240109192892099</v>
      </c>
      <c r="D24">
        <v>1.0033541143150744</v>
      </c>
      <c r="E24">
        <v>1.0011500953054628</v>
      </c>
      <c r="F24">
        <v>8.0094271051910318E-2</v>
      </c>
      <c r="G24" s="1">
        <v>2.5597500000000002E-2</v>
      </c>
      <c r="H24">
        <v>4.1162236000000005E-2</v>
      </c>
      <c r="I24">
        <v>1</v>
      </c>
      <c r="J24">
        <v>0.99534486482786122</v>
      </c>
      <c r="K24">
        <v>56.889795061285646</v>
      </c>
      <c r="L24">
        <v>1.0037706968210252</v>
      </c>
      <c r="M24">
        <v>0.88322035620989059</v>
      </c>
    </row>
    <row r="25" spans="1:13" x14ac:dyDescent="0.25">
      <c r="A25" t="s">
        <v>24</v>
      </c>
      <c r="B25">
        <v>0.31415177881073386</v>
      </c>
      <c r="C25">
        <v>35.295909283553812</v>
      </c>
      <c r="D25">
        <v>1.0033267692085255</v>
      </c>
      <c r="E25">
        <v>1.0015298706096947</v>
      </c>
      <c r="F25">
        <v>8.0612048651025114E-2</v>
      </c>
      <c r="G25" s="1">
        <v>2.5938800000000001E-2</v>
      </c>
      <c r="H25">
        <v>4.1362223999999996E-2</v>
      </c>
      <c r="I25">
        <v>1</v>
      </c>
      <c r="J25">
        <v>0.9947744787844246</v>
      </c>
      <c r="K25">
        <v>56.992771717131262</v>
      </c>
      <c r="L25">
        <v>1.0038078936075612</v>
      </c>
      <c r="M25">
        <v>0.88214752814801678</v>
      </c>
    </row>
    <row r="26" spans="1:13" x14ac:dyDescent="0.25">
      <c r="A26" t="s">
        <v>25</v>
      </c>
      <c r="B26">
        <v>0.31299506895185658</v>
      </c>
      <c r="C26">
        <v>35.353478854682614</v>
      </c>
      <c r="D26">
        <v>1.003374119658859</v>
      </c>
      <c r="E26">
        <v>1.0015451546089198</v>
      </c>
      <c r="F26">
        <v>7.933373020284451E-2</v>
      </c>
      <c r="G26" s="1">
        <v>2.5938800000000001E-2</v>
      </c>
      <c r="H26">
        <v>4.1568094E-2</v>
      </c>
      <c r="I26">
        <v>1</v>
      </c>
      <c r="J26">
        <v>0.99551183046591907</v>
      </c>
      <c r="K26">
        <v>57.095748542505518</v>
      </c>
      <c r="L26">
        <v>1.0038406077724371</v>
      </c>
      <c r="M26">
        <v>0.88109171454115043</v>
      </c>
    </row>
    <row r="27" spans="1:13" x14ac:dyDescent="0.25">
      <c r="A27" t="s">
        <v>26</v>
      </c>
      <c r="B27">
        <v>0.31184805372342922</v>
      </c>
      <c r="C27">
        <v>35.412825200418339</v>
      </c>
      <c r="D27">
        <v>1.0036343383859065</v>
      </c>
      <c r="E27">
        <v>1.0018534981830389</v>
      </c>
      <c r="F27">
        <v>7.7011553753492376E-2</v>
      </c>
      <c r="G27" s="1">
        <v>2.5938800000000001E-2</v>
      </c>
      <c r="H27">
        <v>4.1768082000000005E-2</v>
      </c>
      <c r="I27">
        <v>1</v>
      </c>
      <c r="J27">
        <v>0.99715597823350788</v>
      </c>
      <c r="K27">
        <v>57.198725277714097</v>
      </c>
      <c r="L27">
        <v>1.0038561076566725</v>
      </c>
      <c r="M27">
        <v>0.88023235123772048</v>
      </c>
    </row>
    <row r="28" spans="1:13" x14ac:dyDescent="0.25">
      <c r="A28" t="s">
        <v>27</v>
      </c>
      <c r="B28">
        <v>0.31082738569180096</v>
      </c>
      <c r="C28">
        <v>35.473632920557144</v>
      </c>
      <c r="D28">
        <v>1.0032872611391253</v>
      </c>
      <c r="E28">
        <v>1.0020246030856761</v>
      </c>
      <c r="F28">
        <v>7.4429556181932074E-2</v>
      </c>
      <c r="G28" s="1">
        <v>2.6280100000000001E-2</v>
      </c>
      <c r="H28">
        <v>4.1973952000000002E-2</v>
      </c>
      <c r="I28">
        <v>1</v>
      </c>
      <c r="J28">
        <v>0.99743039118828913</v>
      </c>
      <c r="K28">
        <v>57.301701969025338</v>
      </c>
      <c r="L28">
        <v>1.0039065917228558</v>
      </c>
      <c r="M28">
        <v>0.87910675724284471</v>
      </c>
    </row>
    <row r="29" spans="1:13" x14ac:dyDescent="0.25">
      <c r="A29" t="s">
        <v>28</v>
      </c>
      <c r="B29">
        <v>0.3097917849766581</v>
      </c>
      <c r="C29">
        <v>35.530296947997101</v>
      </c>
      <c r="D29">
        <v>1.003334440646793</v>
      </c>
      <c r="E29">
        <v>1.0020785814472384</v>
      </c>
      <c r="F29">
        <v>7.2353877322322846E-2</v>
      </c>
      <c r="G29" s="1">
        <v>2.6280100000000001E-2</v>
      </c>
      <c r="H29">
        <v>4.217394E-2</v>
      </c>
      <c r="I29">
        <v>1</v>
      </c>
      <c r="J29">
        <v>0.99743183996747486</v>
      </c>
      <c r="K29">
        <v>57.39807023888789</v>
      </c>
      <c r="L29">
        <v>1.0041091843655587</v>
      </c>
      <c r="M29">
        <v>0.87805753006849219</v>
      </c>
    </row>
    <row r="30" spans="1:13" x14ac:dyDescent="0.25">
      <c r="A30" t="s">
        <v>29</v>
      </c>
      <c r="B30">
        <v>0.30883446076953031</v>
      </c>
      <c r="C30">
        <v>35.586802385483495</v>
      </c>
      <c r="D30">
        <v>1.0033855772246791</v>
      </c>
      <c r="E30">
        <v>1.0021909613631148</v>
      </c>
      <c r="F30">
        <v>7.1139024978325444E-2</v>
      </c>
      <c r="G30" s="1">
        <v>2.6280100000000001E-2</v>
      </c>
      <c r="H30">
        <v>4.2379809999999997E-2</v>
      </c>
      <c r="I30">
        <v>1</v>
      </c>
      <c r="J30">
        <v>0.99743328748833915</v>
      </c>
      <c r="K30">
        <v>57.494438439188947</v>
      </c>
      <c r="L30">
        <v>1.0041919979169474</v>
      </c>
      <c r="M30">
        <v>0.87702554800929278</v>
      </c>
    </row>
    <row r="31" spans="1:13" x14ac:dyDescent="0.25">
      <c r="A31" t="s">
        <v>30</v>
      </c>
      <c r="B31">
        <v>0.30792489301489651</v>
      </c>
      <c r="C31">
        <v>35.643969928641077</v>
      </c>
      <c r="D31">
        <v>1.0036164892628052</v>
      </c>
      <c r="E31">
        <v>1.002093081478175</v>
      </c>
      <c r="F31">
        <v>7.072787492310173E-2</v>
      </c>
      <c r="G31" s="1">
        <v>2.66214E-2</v>
      </c>
      <c r="H31">
        <v>4.2579798000000002E-2</v>
      </c>
      <c r="I31">
        <v>1</v>
      </c>
      <c r="J31">
        <v>0.99740055216597989</v>
      </c>
      <c r="K31">
        <v>57.590806796629693</v>
      </c>
      <c r="L31">
        <v>1.0042799955563757</v>
      </c>
      <c r="M31">
        <v>0.87602859816184364</v>
      </c>
    </row>
    <row r="32" spans="1:13" x14ac:dyDescent="0.25">
      <c r="A32" t="s">
        <v>31</v>
      </c>
      <c r="B32">
        <v>0.30701800408534657</v>
      </c>
      <c r="C32">
        <v>35.701000280526905</v>
      </c>
      <c r="D32">
        <v>1.0037388931092051</v>
      </c>
      <c r="E32">
        <v>1.002093081478175</v>
      </c>
      <c r="F32">
        <v>7.1045405885009794E-2</v>
      </c>
      <c r="G32">
        <v>2.6753520186582887E-2</v>
      </c>
      <c r="H32">
        <v>4.2791118623874844E-2</v>
      </c>
      <c r="I32">
        <v>1</v>
      </c>
      <c r="J32">
        <v>1</v>
      </c>
      <c r="K32">
        <v>57.687174770068737</v>
      </c>
      <c r="L32">
        <v>1.0042799955563757</v>
      </c>
      <c r="M32">
        <v>0.87506656376937619</v>
      </c>
    </row>
    <row r="33" spans="1:13" x14ac:dyDescent="0.25">
      <c r="A33" t="s">
        <v>32</v>
      </c>
      <c r="B33">
        <v>0.30611378609130457</v>
      </c>
      <c r="C33">
        <v>35.757366387595745</v>
      </c>
      <c r="D33">
        <v>1.0038612969556051</v>
      </c>
      <c r="E33">
        <v>1.002093081478175</v>
      </c>
      <c r="F33">
        <v>7.2013444843472343E-2</v>
      </c>
      <c r="G33">
        <v>2.6886296076611225E-2</v>
      </c>
      <c r="H33">
        <v>4.3003488017545985E-2</v>
      </c>
      <c r="I33">
        <v>1</v>
      </c>
      <c r="J33">
        <v>1</v>
      </c>
      <c r="K33">
        <v>57.783541817461646</v>
      </c>
      <c r="L33">
        <v>1.0042799955563757</v>
      </c>
      <c r="M33">
        <v>0.87413933224726503</v>
      </c>
    </row>
    <row r="34" spans="1:13" x14ac:dyDescent="0.25">
      <c r="A34" t="s">
        <v>33</v>
      </c>
      <c r="B34">
        <v>0.30521223116643076</v>
      </c>
      <c r="C34">
        <v>35.81306481743929</v>
      </c>
      <c r="D34">
        <v>1.0039837008020049</v>
      </c>
      <c r="E34">
        <v>1.002093081478175</v>
      </c>
      <c r="F34">
        <v>7.3481328552408492E-2</v>
      </c>
      <c r="G34">
        <v>2.7019730924296343E-2</v>
      </c>
      <c r="H34">
        <v>4.3216911385986156E-2</v>
      </c>
      <c r="I34">
        <v>1</v>
      </c>
      <c r="J34">
        <v>1</v>
      </c>
      <c r="K34">
        <v>57.87990739586553</v>
      </c>
      <c r="L34">
        <v>1.0042799955563757</v>
      </c>
      <c r="M34">
        <v>0.8732467951610694</v>
      </c>
    </row>
    <row r="35" spans="1:13" x14ac:dyDescent="0.25">
      <c r="A35" t="s">
        <v>34</v>
      </c>
      <c r="B35">
        <v>0.30431333146755291</v>
      </c>
      <c r="C35">
        <v>35.868092174619257</v>
      </c>
      <c r="D35">
        <v>1.0041061046484048</v>
      </c>
      <c r="E35">
        <v>1.002093081478175</v>
      </c>
      <c r="F35">
        <v>7.5225903540233341E-2</v>
      </c>
      <c r="G35">
        <v>2.7153828000000005E-2</v>
      </c>
      <c r="H35">
        <v>4.3431393960000016E-2</v>
      </c>
      <c r="I35">
        <v>1</v>
      </c>
      <c r="J35">
        <v>1</v>
      </c>
      <c r="K35">
        <v>57.976270961443674</v>
      </c>
      <c r="L35">
        <v>1.0042799955563757</v>
      </c>
      <c r="M35">
        <v>0.87238884820539908</v>
      </c>
    </row>
    <row r="36" spans="1:13" x14ac:dyDescent="0.25">
      <c r="A36" t="s">
        <v>35</v>
      </c>
      <c r="B36">
        <v>0.30341707917459831</v>
      </c>
      <c r="C36">
        <v>35.92244510101218</v>
      </c>
      <c r="D36">
        <v>1.0042285084948046</v>
      </c>
      <c r="E36">
        <v>1.002093081478175</v>
      </c>
      <c r="F36">
        <v>7.7020864586427151E-2</v>
      </c>
      <c r="G36">
        <v>2.7288590590314552E-2</v>
      </c>
      <c r="H36">
        <v>4.3646940996352357E-2</v>
      </c>
      <c r="I36">
        <v>1</v>
      </c>
      <c r="J36">
        <v>1</v>
      </c>
      <c r="K36">
        <v>58.072631969470123</v>
      </c>
      <c r="L36">
        <v>1.0042799955563757</v>
      </c>
      <c r="M36">
        <v>0.87156539118359899</v>
      </c>
    </row>
    <row r="37" spans="1:13" x14ac:dyDescent="0.25">
      <c r="A37" t="s">
        <v>36</v>
      </c>
      <c r="B37">
        <v>0.30252346649052564</v>
      </c>
      <c r="C37">
        <v>35.976120276150752</v>
      </c>
      <c r="D37">
        <v>1.0043509123412044</v>
      </c>
      <c r="E37">
        <v>1.002093081478175</v>
      </c>
      <c r="F37">
        <v>7.8647150751053288E-2</v>
      </c>
      <c r="G37">
        <v>2.7424021998143457E-2</v>
      </c>
      <c r="H37">
        <v>4.3863557777896918E-2</v>
      </c>
      <c r="I37">
        <v>1</v>
      </c>
      <c r="J37">
        <v>1</v>
      </c>
      <c r="K37">
        <v>58.168989874334329</v>
      </c>
      <c r="L37">
        <v>1.0042799955563757</v>
      </c>
      <c r="M37">
        <v>0.87077632798824645</v>
      </c>
    </row>
    <row r="38" spans="1:13" x14ac:dyDescent="0.25">
      <c r="A38" t="s">
        <v>37</v>
      </c>
      <c r="B38">
        <v>0.30163248564125711</v>
      </c>
      <c r="C38">
        <v>36.029114417561722</v>
      </c>
      <c r="D38">
        <v>1.0044733161876043</v>
      </c>
      <c r="E38">
        <v>1.002093081478175</v>
      </c>
      <c r="F38">
        <v>8.0052319547587389E-2</v>
      </c>
      <c r="G38">
        <v>2.7560125542782279E-2</v>
      </c>
      <c r="H38">
        <v>4.4081249613705895E-2</v>
      </c>
      <c r="I38">
        <v>1</v>
      </c>
      <c r="J38">
        <v>1</v>
      </c>
      <c r="K38">
        <v>58.265344129545817</v>
      </c>
      <c r="L38">
        <v>1.0042799955563757</v>
      </c>
      <c r="M38">
        <v>0.87002156658245688</v>
      </c>
    </row>
    <row r="39" spans="1:13" x14ac:dyDescent="0.25">
      <c r="A39" t="s">
        <v>38</v>
      </c>
      <c r="B39">
        <v>0.30074412887561081</v>
      </c>
      <c r="C39">
        <v>36.081424281100269</v>
      </c>
      <c r="D39">
        <v>1.0045957200340041</v>
      </c>
      <c r="E39">
        <v>1.002093081478175</v>
      </c>
      <c r="F39">
        <v>8.1350546942917851E-2</v>
      </c>
      <c r="G39">
        <v>2.7696904560000013E-2</v>
      </c>
      <c r="H39">
        <v>4.4300021839200038E-2</v>
      </c>
      <c r="I39">
        <v>1</v>
      </c>
      <c r="J39">
        <v>1</v>
      </c>
      <c r="K39">
        <v>58.361694187738863</v>
      </c>
      <c r="L39">
        <v>1.0042799955563757</v>
      </c>
      <c r="M39">
        <v>0.86930101898199152</v>
      </c>
    </row>
    <row r="40" spans="1:13" x14ac:dyDescent="0.25">
      <c r="A40" t="s">
        <v>39</v>
      </c>
      <c r="B40">
        <v>0.29985838846523338</v>
      </c>
      <c r="C40">
        <v>36.133046661280829</v>
      </c>
      <c r="D40">
        <v>1.0047181238804042</v>
      </c>
      <c r="E40">
        <v>1.002093081478175</v>
      </c>
      <c r="F40">
        <v>8.2663253184515853E-2</v>
      </c>
      <c r="G40">
        <v>2.7834362402120848E-2</v>
      </c>
      <c r="H40">
        <v>4.4519879816279424E-2</v>
      </c>
      <c r="I40">
        <v>1</v>
      </c>
      <c r="J40">
        <v>1</v>
      </c>
      <c r="K40">
        <v>58.458039500677202</v>
      </c>
      <c r="L40">
        <v>1.0042799955563757</v>
      </c>
      <c r="M40">
        <v>0.86861460123816359</v>
      </c>
    </row>
    <row r="41" spans="1:13" x14ac:dyDescent="0.25">
      <c r="A41" t="s">
        <v>40</v>
      </c>
      <c r="B41">
        <v>0.29897525670453273</v>
      </c>
      <c r="C41">
        <v>36.18397839160432</v>
      </c>
      <c r="D41">
        <v>1.004840527726804</v>
      </c>
      <c r="E41">
        <v>1.002093081478175</v>
      </c>
      <c r="F41">
        <v>8.4105714481806718E-2</v>
      </c>
      <c r="G41">
        <v>2.7972502438106332E-2</v>
      </c>
      <c r="H41">
        <v>4.4740828933454879E-2</v>
      </c>
      <c r="I41">
        <v>1</v>
      </c>
      <c r="J41">
        <v>1</v>
      </c>
      <c r="K41">
        <v>58.554379519258731</v>
      </c>
      <c r="L41">
        <v>1.0042799955563757</v>
      </c>
      <c r="M41">
        <v>0.86796223342153722</v>
      </c>
    </row>
    <row r="42" spans="1:13" x14ac:dyDescent="0.25">
      <c r="A42" t="s">
        <v>41</v>
      </c>
      <c r="B42">
        <v>0.29809472591061092</v>
      </c>
      <c r="C42">
        <v>36.234216344881723</v>
      </c>
      <c r="D42">
        <v>1.0049629315732038</v>
      </c>
      <c r="E42">
        <v>1.002093081478175</v>
      </c>
      <c r="F42">
        <v>8.5651894169155821E-2</v>
      </c>
      <c r="G42">
        <v>2.8111328053637932E-2</v>
      </c>
      <c r="H42">
        <v>4.4962874605980037E-2</v>
      </c>
      <c r="I42">
        <v>1</v>
      </c>
      <c r="J42">
        <v>1</v>
      </c>
      <c r="K42">
        <v>58.650713693520274</v>
      </c>
      <c r="L42">
        <v>1.0042799955563799</v>
      </c>
      <c r="M42">
        <v>0.86734383960641503</v>
      </c>
    </row>
    <row r="43" spans="1:13" x14ac:dyDescent="0.25">
      <c r="A43" t="s">
        <v>42</v>
      </c>
      <c r="B43">
        <v>0.29721678842319743</v>
      </c>
      <c r="C43">
        <v>36.283757433553951</v>
      </c>
      <c r="D43">
        <v>1.0049629315732038</v>
      </c>
      <c r="E43">
        <v>1.002093081478175</v>
      </c>
      <c r="F43">
        <v>8.7134442705868662E-2</v>
      </c>
      <c r="G43">
        <v>2.8250842651200023E-2</v>
      </c>
      <c r="H43">
        <v>4.5186022275984061E-2</v>
      </c>
      <c r="I43">
        <v>1</v>
      </c>
      <c r="J43">
        <v>1</v>
      </c>
      <c r="K43">
        <v>58.747041472642323</v>
      </c>
      <c r="L43">
        <v>1.0042799955563799</v>
      </c>
      <c r="M43">
        <v>0.86675934785611064</v>
      </c>
    </row>
    <row r="44" spans="1:13" x14ac:dyDescent="0.25">
      <c r="A44" t="s">
        <v>43</v>
      </c>
      <c r="B44">
        <v>0.29634143660458251</v>
      </c>
      <c r="C44">
        <v>36.332598610007992</v>
      </c>
      <c r="D44">
        <v>1.0049629315732038</v>
      </c>
      <c r="E44">
        <v>1.002093081478175</v>
      </c>
      <c r="F44">
        <v>8.837986651320473E-2</v>
      </c>
      <c r="G44">
        <v>2.8391049650163275E-2</v>
      </c>
      <c r="H44">
        <v>4.5410277412605032E-2</v>
      </c>
      <c r="I44">
        <v>1</v>
      </c>
      <c r="J44">
        <v>1</v>
      </c>
      <c r="K44">
        <v>58.843362304953814</v>
      </c>
      <c r="L44">
        <v>1.0042799955563799</v>
      </c>
      <c r="M44">
        <v>0.86620869020900138</v>
      </c>
    </row>
    <row r="45" spans="1:13" x14ac:dyDescent="0.25">
      <c r="A45" t="s">
        <v>44</v>
      </c>
      <c r="B45">
        <v>0.2954686628395507</v>
      </c>
      <c r="C45">
        <v>36.380736866889251</v>
      </c>
      <c r="D45">
        <v>1.0049629315732038</v>
      </c>
      <c r="E45">
        <v>1.002093081478175</v>
      </c>
      <c r="F45">
        <v>8.9224847034805807E-2</v>
      </c>
      <c r="G45">
        <v>2.8531952486868468E-2</v>
      </c>
      <c r="H45">
        <v>4.5635645512123992E-2</v>
      </c>
      <c r="I45">
        <v>1</v>
      </c>
      <c r="J45">
        <v>1</v>
      </c>
      <c r="K45">
        <v>58.939675637936944</v>
      </c>
      <c r="L45">
        <v>1.0042799955563799</v>
      </c>
      <c r="M45">
        <v>0.86569180266535795</v>
      </c>
    </row>
    <row r="46" spans="1:13" x14ac:dyDescent="0.25">
      <c r="A46" t="s">
        <v>45</v>
      </c>
      <c r="B46">
        <v>0.29459845953531461</v>
      </c>
      <c r="C46">
        <v>36.428169237410067</v>
      </c>
      <c r="D46">
        <v>1.0049629315732038</v>
      </c>
      <c r="E46">
        <v>1.002093081478175</v>
      </c>
      <c r="F46">
        <v>8.9740091229109642E-2</v>
      </c>
      <c r="G46">
        <v>2.8673554614710699E-2</v>
      </c>
      <c r="H46">
        <v>4.5862132098099646E-2</v>
      </c>
      <c r="I46">
        <v>1</v>
      </c>
      <c r="J46">
        <v>1</v>
      </c>
      <c r="K46">
        <v>59.035980918231992</v>
      </c>
      <c r="L46">
        <v>1.0042799955563799</v>
      </c>
      <c r="M46">
        <v>0.86520862517494701</v>
      </c>
    </row>
    <row r="47" spans="1:13" x14ac:dyDescent="0.25">
      <c r="A47" t="s">
        <v>46</v>
      </c>
      <c r="B47">
        <v>0.29373081912144872</v>
      </c>
      <c r="C47">
        <v>36.474892795654362</v>
      </c>
      <c r="D47">
        <v>1.0049629315732038</v>
      </c>
      <c r="E47">
        <v>1.002093081478175</v>
      </c>
      <c r="F47">
        <v>9.0230331569349648E-2</v>
      </c>
      <c r="G47">
        <v>2.881585950422403E-2</v>
      </c>
      <c r="H47">
        <v>4.6089742721503749E-2</v>
      </c>
      <c r="I47">
        <v>1</v>
      </c>
      <c r="J47">
        <v>1</v>
      </c>
      <c r="K47">
        <v>59.132277591642136</v>
      </c>
      <c r="L47">
        <v>1.0042799955563799</v>
      </c>
      <c r="M47">
        <v>0.86475910162540359</v>
      </c>
    </row>
    <row r="48" spans="1:13" x14ac:dyDescent="0.25">
      <c r="A48" t="s">
        <v>47</v>
      </c>
      <c r="B48">
        <v>0.2928657340498238</v>
      </c>
      <c r="C48">
        <v>36.520904656878351</v>
      </c>
      <c r="D48">
        <v>1.0049629315732038</v>
      </c>
      <c r="E48">
        <v>1.002093081478175</v>
      </c>
      <c r="F48">
        <v>9.1010475551141806E-2</v>
      </c>
      <c r="G48">
        <v>2.8958870643166549E-2</v>
      </c>
      <c r="H48">
        <v>4.6318482960857138E-2</v>
      </c>
      <c r="I48">
        <v>1</v>
      </c>
      <c r="J48">
        <v>1</v>
      </c>
      <c r="K48">
        <v>59.228565103138337</v>
      </c>
      <c r="L48">
        <v>1.0042799955563799</v>
      </c>
      <c r="M48">
        <v>0.86434317983137066</v>
      </c>
    </row>
    <row r="49" spans="1:13" x14ac:dyDescent="0.25">
      <c r="A49" t="s">
        <v>48</v>
      </c>
      <c r="B49">
        <v>0.29200319679454106</v>
      </c>
      <c r="C49">
        <v>36.566201977807303</v>
      </c>
      <c r="D49">
        <v>1.0049629315732038</v>
      </c>
      <c r="E49">
        <v>1.002093081478175</v>
      </c>
      <c r="F49">
        <v>9.2382345166274721E-2</v>
      </c>
      <c r="G49">
        <v>2.9102591536605847E-2</v>
      </c>
      <c r="H49">
        <v>4.654835842236648E-2</v>
      </c>
      <c r="I49">
        <v>1</v>
      </c>
      <c r="J49">
        <v>1</v>
      </c>
      <c r="K49">
        <v>59.324842896864197</v>
      </c>
      <c r="L49">
        <v>1.0042799955563799</v>
      </c>
      <c r="M49">
        <v>0.86396081152440141</v>
      </c>
    </row>
    <row r="50" spans="1:13" x14ac:dyDescent="0.25">
      <c r="A50" t="s">
        <v>49</v>
      </c>
      <c r="B50">
        <v>0.2911431998518666</v>
      </c>
      <c r="C50">
        <v>36.610781956928292</v>
      </c>
      <c r="D50">
        <v>1.0049629315732038</v>
      </c>
      <c r="E50">
        <v>1.002093081478175</v>
      </c>
      <c r="F50">
        <v>9.4346795818507342E-2</v>
      </c>
      <c r="G50">
        <v>2.9247025707004923E-2</v>
      </c>
      <c r="H50">
        <v>4.6779374740061649E-2</v>
      </c>
      <c r="I50">
        <v>1</v>
      </c>
      <c r="J50">
        <v>1</v>
      </c>
      <c r="K50">
        <v>59.421110416140863</v>
      </c>
      <c r="L50">
        <v>1.0042799955563799</v>
      </c>
      <c r="M50">
        <v>0.86361195234362342</v>
      </c>
    </row>
    <row r="51" spans="1:13" x14ac:dyDescent="0.25">
      <c r="A51" t="s">
        <v>50</v>
      </c>
      <c r="B51">
        <v>0.29028573574016636</v>
      </c>
      <c r="C51">
        <v>36.654641834778914</v>
      </c>
      <c r="D51">
        <v>1.0049629315732038</v>
      </c>
      <c r="E51">
        <v>1.002093081478175</v>
      </c>
      <c r="F51">
        <v>9.6603716323568858E-2</v>
      </c>
      <c r="G51">
        <v>2.9392176694308523E-2</v>
      </c>
      <c r="H51">
        <v>4.7011537575933834E-2</v>
      </c>
      <c r="I51">
        <v>1</v>
      </c>
      <c r="J51">
        <v>1</v>
      </c>
      <c r="K51">
        <v>59.517367103471955</v>
      </c>
      <c r="L51">
        <v>1.0042799955563799</v>
      </c>
      <c r="M51">
        <v>0.86329656182716119</v>
      </c>
    </row>
    <row r="52" spans="1:13" x14ac:dyDescent="0.25">
      <c r="A52" t="s">
        <v>51</v>
      </c>
      <c r="B52">
        <v>0.28943079699984087</v>
      </c>
      <c r="C52">
        <v>36.697778894231881</v>
      </c>
      <c r="D52">
        <v>1.0049629315732038</v>
      </c>
      <c r="E52">
        <v>1.002093081478175</v>
      </c>
      <c r="F52">
        <v>9.8839909993360661E-2</v>
      </c>
      <c r="G52">
        <v>2.9538048056029893E-2</v>
      </c>
      <c r="H52">
        <v>4.7244852620074294E-2</v>
      </c>
      <c r="I52">
        <v>1</v>
      </c>
      <c r="J52">
        <v>1</v>
      </c>
      <c r="K52">
        <v>59.613612400548504</v>
      </c>
      <c r="L52">
        <v>1.0042799955563799</v>
      </c>
      <c r="M52">
        <v>0.86301460340431402</v>
      </c>
    </row>
    <row r="53" spans="1:13" x14ac:dyDescent="0.25">
      <c r="A53" t="s">
        <v>52</v>
      </c>
      <c r="B53">
        <v>0.28857837619326038</v>
      </c>
      <c r="C53">
        <v>36.740190460775509</v>
      </c>
      <c r="D53">
        <v>1.0049629315732038</v>
      </c>
      <c r="E53">
        <v>1.002093081478175</v>
      </c>
      <c r="F53">
        <v>0.10075214131122766</v>
      </c>
      <c r="G53">
        <v>2.9684643367337976E-2</v>
      </c>
      <c r="H53">
        <v>4.7479325590813824E-2</v>
      </c>
      <c r="I53">
        <v>1</v>
      </c>
      <c r="J53">
        <v>1</v>
      </c>
      <c r="K53">
        <v>59.709845748253898</v>
      </c>
      <c r="L53">
        <v>1.0042799955563799</v>
      </c>
      <c r="M53">
        <v>0.86276604438848858</v>
      </c>
    </row>
    <row r="54" spans="1:13" x14ac:dyDescent="0.25">
      <c r="A54" t="s">
        <v>53</v>
      </c>
      <c r="B54">
        <v>0.28772846590470014</v>
      </c>
      <c r="C54">
        <v>36.781873902790032</v>
      </c>
      <c r="D54">
        <v>1.0049629315732038</v>
      </c>
      <c r="E54">
        <v>1.002093081478175</v>
      </c>
      <c r="F54">
        <v>0.10226628170369663</v>
      </c>
      <c r="G54">
        <v>2.9831966221145034E-2</v>
      </c>
      <c r="H54">
        <v>4.77149622348629E-2</v>
      </c>
      <c r="I54">
        <v>1</v>
      </c>
      <c r="J54">
        <v>1</v>
      </c>
      <c r="K54">
        <v>59.806066586668855</v>
      </c>
      <c r="L54">
        <v>1.0042799955563799</v>
      </c>
      <c r="M54">
        <v>0.86255085597088343</v>
      </c>
    </row>
    <row r="55" spans="1:13" x14ac:dyDescent="0.25">
      <c r="A55" t="s">
        <v>77</v>
      </c>
      <c r="B55">
        <f>B54*1</f>
        <v>0.28772846590470014</v>
      </c>
      <c r="C55">
        <f t="shared" ref="C55:M55" si="0">C54*(C$54/C$53)</f>
        <v>36.823604636593636</v>
      </c>
      <c r="D55">
        <f t="shared" si="0"/>
        <v>1.0049629315732038</v>
      </c>
      <c r="E55">
        <f t="shared" si="0"/>
        <v>1.002093081478175</v>
      </c>
      <c r="F55">
        <f t="shared" si="0"/>
        <v>0.10380317715723197</v>
      </c>
      <c r="G55">
        <f t="shared" si="0"/>
        <v>2.9980020228194706E-2</v>
      </c>
      <c r="H55">
        <f t="shared" si="0"/>
        <v>4.7951768327452529E-2</v>
      </c>
      <c r="I55">
        <f t="shared" si="0"/>
        <v>1</v>
      </c>
      <c r="J55">
        <f t="shared" si="0"/>
        <v>1</v>
      </c>
      <c r="K55">
        <f t="shared" si="0"/>
        <v>59.902442482422003</v>
      </c>
      <c r="L55">
        <f t="shared" si="0"/>
        <v>1.0042799955563799</v>
      </c>
      <c r="M55">
        <f t="shared" si="0"/>
        <v>0.86233572122490265</v>
      </c>
    </row>
    <row r="56" spans="1:13" x14ac:dyDescent="0.25">
      <c r="A56" t="s">
        <v>78</v>
      </c>
      <c r="B56">
        <f t="shared" ref="B56:B114" si="1">B55*1</f>
        <v>0.28772846590470014</v>
      </c>
      <c r="C56">
        <f t="shared" ref="C56:C114" si="2">C55*(C$54/C$53)</f>
        <v>36.865382715841044</v>
      </c>
      <c r="D56">
        <f t="shared" ref="D56:D114" si="3">D55*(D$54/D$53)</f>
        <v>1.0049629315732038</v>
      </c>
      <c r="E56">
        <f t="shared" ref="E56:E114" si="4">E55*(E$54/E$53)</f>
        <v>1.002093081478175</v>
      </c>
      <c r="F56">
        <f t="shared" ref="F56:F114" si="5">F55*(F$54/F$53)</f>
        <v>0.10536316964329601</v>
      </c>
      <c r="G56">
        <f t="shared" ref="G56:G114" si="6">G55*(G$54/G$53)</f>
        <v>3.0128809017150503E-2</v>
      </c>
      <c r="H56">
        <f t="shared" ref="H56:H114" si="7">H55*(H$54/H$53)</f>
        <v>4.8189749672475801E-2</v>
      </c>
      <c r="I56">
        <f t="shared" ref="I56:I114" si="8">I55*(I$54/I$53)</f>
        <v>1</v>
      </c>
      <c r="J56">
        <f t="shared" ref="J56:J114" si="9">J55*(J$54/J$53)</f>
        <v>1</v>
      </c>
      <c r="K56">
        <f t="shared" ref="K56:K114" si="10">K55*(K$54/K$53)</f>
        <v>59.998973685384144</v>
      </c>
      <c r="L56">
        <f t="shared" ref="L56:L114" si="11">L55*(L$54/L$53)</f>
        <v>1.0042799955563799</v>
      </c>
      <c r="M56">
        <f t="shared" ref="M56:M114" si="12">M55*(M$54/M$53)</f>
        <v>0.86212064013715972</v>
      </c>
    </row>
    <row r="57" spans="1:13" x14ac:dyDescent="0.25">
      <c r="A57" t="s">
        <v>79</v>
      </c>
      <c r="B57">
        <f t="shared" si="1"/>
        <v>0.28772846590470014</v>
      </c>
      <c r="C57">
        <f t="shared" si="2"/>
        <v>36.907208194247843</v>
      </c>
      <c r="D57">
        <f t="shared" si="3"/>
        <v>1.0049629315732038</v>
      </c>
      <c r="E57">
        <f t="shared" si="4"/>
        <v>1.002093081478175</v>
      </c>
      <c r="F57">
        <f t="shared" si="5"/>
        <v>0.10694660627262446</v>
      </c>
      <c r="G57">
        <f t="shared" si="6"/>
        <v>3.0278336234684747E-2</v>
      </c>
      <c r="H57">
        <f t="shared" si="7"/>
        <v>4.8428912102630117E-2</v>
      </c>
      <c r="I57">
        <f t="shared" si="8"/>
        <v>1</v>
      </c>
      <c r="J57">
        <f t="shared" si="9"/>
        <v>1</v>
      </c>
      <c r="K57">
        <f t="shared" si="10"/>
        <v>60.095660445828734</v>
      </c>
      <c r="L57">
        <f t="shared" si="11"/>
        <v>1.0042799955563799</v>
      </c>
      <c r="M57">
        <f t="shared" si="12"/>
        <v>0.86190561269427124</v>
      </c>
    </row>
    <row r="58" spans="1:13" x14ac:dyDescent="0.25">
      <c r="A58" t="s">
        <v>80</v>
      </c>
      <c r="B58">
        <f t="shared" si="1"/>
        <v>0.28772846590470014</v>
      </c>
      <c r="C58">
        <f t="shared" si="2"/>
        <v>36.949081125590574</v>
      </c>
      <c r="D58">
        <f t="shared" si="3"/>
        <v>1.0049629315732038</v>
      </c>
      <c r="E58">
        <f t="shared" si="4"/>
        <v>1.002093081478175</v>
      </c>
      <c r="F58">
        <f t="shared" si="5"/>
        <v>0.10855383937246142</v>
      </c>
      <c r="G58">
        <f t="shared" si="6"/>
        <v>3.0428605545567946E-2</v>
      </c>
      <c r="H58">
        <f t="shared" si="7"/>
        <v>4.8669261479560175E-2</v>
      </c>
      <c r="I58">
        <f t="shared" si="8"/>
        <v>1</v>
      </c>
      <c r="J58">
        <f t="shared" si="9"/>
        <v>1</v>
      </c>
      <c r="K58">
        <f t="shared" si="10"/>
        <v>60.192503014432546</v>
      </c>
      <c r="L58">
        <f t="shared" si="11"/>
        <v>1.0042799955563799</v>
      </c>
      <c r="M58">
        <f t="shared" si="12"/>
        <v>0.86169063888285735</v>
      </c>
    </row>
    <row r="59" spans="1:13" x14ac:dyDescent="0.25">
      <c r="A59" t="s">
        <v>81</v>
      </c>
      <c r="B59">
        <f t="shared" si="1"/>
        <v>0.28772846590470014</v>
      </c>
      <c r="C59">
        <f t="shared" si="2"/>
        <v>36.991001563706774</v>
      </c>
      <c r="D59">
        <f t="shared" si="3"/>
        <v>1.0049629315732038</v>
      </c>
      <c r="E59">
        <f t="shared" si="4"/>
        <v>1.002093081478175</v>
      </c>
      <c r="F59">
        <f t="shared" si="5"/>
        <v>0.11018522656495491</v>
      </c>
      <c r="G59">
        <f t="shared" si="6"/>
        <v>3.0579620632758611E-2</v>
      </c>
      <c r="H59">
        <f t="shared" si="7"/>
        <v>4.8910803694001595E-2</v>
      </c>
      <c r="I59">
        <f t="shared" si="8"/>
        <v>1</v>
      </c>
      <c r="J59">
        <f t="shared" si="9"/>
        <v>1</v>
      </c>
      <c r="K59">
        <f t="shared" si="10"/>
        <v>60.289501642276313</v>
      </c>
      <c r="L59">
        <f t="shared" si="11"/>
        <v>1.0042799955563799</v>
      </c>
      <c r="M59">
        <f t="shared" si="12"/>
        <v>0.86147571868954143</v>
      </c>
    </row>
    <row r="60" spans="1:13" x14ac:dyDescent="0.25">
      <c r="A60" t="s">
        <v>82</v>
      </c>
      <c r="B60">
        <f t="shared" si="1"/>
        <v>0.28772846590470014</v>
      </c>
      <c r="C60">
        <f t="shared" si="2"/>
        <v>37.032969562495076</v>
      </c>
      <c r="D60">
        <f t="shared" si="3"/>
        <v>1.0049629315732038</v>
      </c>
      <c r="E60">
        <f t="shared" si="4"/>
        <v>1.002093081478175</v>
      </c>
      <c r="F60">
        <f t="shared" si="5"/>
        <v>0.11184113084673072</v>
      </c>
      <c r="G60">
        <f t="shared" si="6"/>
        <v>3.0731385197493525E-2</v>
      </c>
      <c r="H60">
        <f t="shared" si="7"/>
        <v>4.9153544665925329E-2</v>
      </c>
      <c r="I60">
        <f t="shared" si="8"/>
        <v>1</v>
      </c>
      <c r="J60">
        <f t="shared" si="9"/>
        <v>1</v>
      </c>
      <c r="K60">
        <f t="shared" si="10"/>
        <v>60.386656580845376</v>
      </c>
      <c r="L60">
        <f t="shared" si="11"/>
        <v>1.0042799955563799</v>
      </c>
      <c r="M60">
        <f t="shared" si="12"/>
        <v>0.86126085210095027</v>
      </c>
    </row>
    <row r="61" spans="1:13" x14ac:dyDescent="0.25">
      <c r="A61" t="s">
        <v>83</v>
      </c>
      <c r="B61">
        <f t="shared" si="1"/>
        <v>0.28772846590470014</v>
      </c>
      <c r="C61">
        <f t="shared" si="2"/>
        <v>37.074985175915259</v>
      </c>
      <c r="D61">
        <f t="shared" si="3"/>
        <v>1.0049629315732038</v>
      </c>
      <c r="E61">
        <f t="shared" si="4"/>
        <v>1.002093081478175</v>
      </c>
      <c r="F61">
        <f t="shared" si="5"/>
        <v>0.11352192066966196</v>
      </c>
      <c r="G61">
        <f t="shared" si="6"/>
        <v>3.0883902959378453E-2</v>
      </c>
      <c r="H61">
        <f t="shared" si="7"/>
        <v>4.9397490344682736E-2</v>
      </c>
      <c r="I61">
        <f t="shared" si="8"/>
        <v>1</v>
      </c>
      <c r="J61">
        <f t="shared" si="9"/>
        <v>1</v>
      </c>
      <c r="K61">
        <f t="shared" si="10"/>
        <v>60.483968082030337</v>
      </c>
      <c r="L61">
        <f t="shared" si="11"/>
        <v>1.0042799955563799</v>
      </c>
      <c r="M61">
        <f t="shared" si="12"/>
        <v>0.86104603910371391</v>
      </c>
    </row>
    <row r="62" spans="1:13" x14ac:dyDescent="0.25">
      <c r="A62" t="s">
        <v>84</v>
      </c>
      <c r="B62">
        <f t="shared" si="1"/>
        <v>0.28772846590470014</v>
      </c>
      <c r="C62">
        <f t="shared" si="2"/>
        <v>37.117048457988318</v>
      </c>
      <c r="D62">
        <f t="shared" si="3"/>
        <v>1.0049629315732038</v>
      </c>
      <c r="E62">
        <f t="shared" si="4"/>
        <v>1.002093081478175</v>
      </c>
      <c r="F62">
        <f t="shared" si="5"/>
        <v>0.11522797002285261</v>
      </c>
      <c r="G62">
        <f t="shared" si="6"/>
        <v>3.1037177656479314E-2</v>
      </c>
      <c r="H62">
        <f t="shared" si="7"/>
        <v>4.9642646709151396E-2</v>
      </c>
      <c r="I62">
        <f t="shared" si="8"/>
        <v>1</v>
      </c>
      <c r="J62">
        <f t="shared" si="9"/>
        <v>1</v>
      </c>
      <c r="K62">
        <f t="shared" si="10"/>
        <v>60.581436398127721</v>
      </c>
      <c r="L62">
        <f t="shared" si="11"/>
        <v>1.0042799955563799</v>
      </c>
      <c r="M62">
        <f t="shared" si="12"/>
        <v>0.86083127968446571</v>
      </c>
    </row>
    <row r="63" spans="1:13" x14ac:dyDescent="0.25">
      <c r="A63" t="s">
        <v>85</v>
      </c>
      <c r="B63">
        <f t="shared" si="1"/>
        <v>0.28772846590470014</v>
      </c>
      <c r="C63">
        <f t="shared" si="2"/>
        <v>37.159159462796538</v>
      </c>
      <c r="D63">
        <f t="shared" si="3"/>
        <v>1.0049629315732038</v>
      </c>
      <c r="E63">
        <f t="shared" si="4"/>
        <v>1.002093081478175</v>
      </c>
      <c r="F63">
        <f t="shared" si="5"/>
        <v>0.11695965851585302</v>
      </c>
      <c r="G63">
        <f t="shared" si="6"/>
        <v>3.1191213045413793E-2</v>
      </c>
      <c r="H63">
        <f t="shared" si="7"/>
        <v>4.9889019767881647E-2</v>
      </c>
      <c r="I63">
        <f t="shared" si="8"/>
        <v>1</v>
      </c>
      <c r="J63">
        <f t="shared" si="9"/>
        <v>1</v>
      </c>
      <c r="K63">
        <f t="shared" si="10"/>
        <v>60.679061781840609</v>
      </c>
      <c r="L63">
        <f t="shared" si="11"/>
        <v>1.0042799955563799</v>
      </c>
      <c r="M63">
        <f t="shared" si="12"/>
        <v>0.86061657382984247</v>
      </c>
    </row>
    <row r="64" spans="1:13" x14ac:dyDescent="0.25">
      <c r="A64" t="s">
        <v>86</v>
      </c>
      <c r="B64">
        <f t="shared" si="1"/>
        <v>0.28772846590470014</v>
      </c>
      <c r="C64">
        <f t="shared" si="2"/>
        <v>37.201318244483573</v>
      </c>
      <c r="D64">
        <f t="shared" si="3"/>
        <v>1.0049629315732038</v>
      </c>
      <c r="E64">
        <f t="shared" si="4"/>
        <v>1.002093081478175</v>
      </c>
      <c r="F64">
        <f t="shared" si="5"/>
        <v>0.11871737146312608</v>
      </c>
      <c r="G64">
        <f t="shared" si="6"/>
        <v>3.1346012901443406E-2</v>
      </c>
      <c r="H64">
        <f t="shared" si="7"/>
        <v>5.0136615559243855E-2</v>
      </c>
      <c r="I64">
        <f t="shared" si="8"/>
        <v>1</v>
      </c>
      <c r="J64">
        <f t="shared" si="9"/>
        <v>1</v>
      </c>
      <c r="K64">
        <f t="shared" si="10"/>
        <v>60.776844486279309</v>
      </c>
      <c r="L64">
        <f t="shared" si="11"/>
        <v>1.0042799955563799</v>
      </c>
      <c r="M64">
        <f t="shared" si="12"/>
        <v>0.86040192152648431</v>
      </c>
    </row>
    <row r="65" spans="1:13" x14ac:dyDescent="0.25">
      <c r="A65" t="s">
        <v>87</v>
      </c>
      <c r="B65">
        <f t="shared" si="1"/>
        <v>0.28772846590470014</v>
      </c>
      <c r="C65">
        <f t="shared" si="2"/>
        <v>37.243524857254492</v>
      </c>
      <c r="D65">
        <f t="shared" si="3"/>
        <v>1.0049629315732038</v>
      </c>
      <c r="E65">
        <f t="shared" si="4"/>
        <v>1.002093081478175</v>
      </c>
      <c r="F65">
        <f t="shared" si="5"/>
        <v>0.12050149996978274</v>
      </c>
      <c r="G65">
        <f t="shared" si="6"/>
        <v>3.1501581018566031E-2</v>
      </c>
      <c r="H65">
        <f t="shared" si="7"/>
        <v>5.0385440151576408E-2</v>
      </c>
      <c r="I65">
        <f t="shared" si="8"/>
        <v>1</v>
      </c>
      <c r="J65">
        <f t="shared" si="9"/>
        <v>1</v>
      </c>
      <c r="K65">
        <f t="shared" si="10"/>
        <v>60.874784764962016</v>
      </c>
      <c r="L65">
        <f t="shared" si="11"/>
        <v>1.0042799955563799</v>
      </c>
      <c r="M65">
        <f t="shared" si="12"/>
        <v>0.8601873227610346</v>
      </c>
    </row>
    <row r="66" spans="1:13" x14ac:dyDescent="0.25">
      <c r="A66" t="s">
        <v>88</v>
      </c>
      <c r="B66">
        <f t="shared" si="1"/>
        <v>0.28772846590470014</v>
      </c>
      <c r="C66">
        <f t="shared" si="2"/>
        <v>37.285779355375865</v>
      </c>
      <c r="D66">
        <f t="shared" si="3"/>
        <v>1.0049629315732038</v>
      </c>
      <c r="E66">
        <f t="shared" si="4"/>
        <v>1.002093081478175</v>
      </c>
      <c r="F66">
        <f t="shared" si="5"/>
        <v>0.12231244101860601</v>
      </c>
      <c r="G66">
        <f t="shared" si="6"/>
        <v>3.1657921209608912E-2</v>
      </c>
      <c r="H66">
        <f t="shared" si="7"/>
        <v>5.0635499643334435E-2</v>
      </c>
      <c r="I66">
        <f t="shared" si="8"/>
        <v>1</v>
      </c>
      <c r="J66">
        <f t="shared" si="9"/>
        <v>1</v>
      </c>
      <c r="K66">
        <f t="shared" si="10"/>
        <v>60.972882871815457</v>
      </c>
      <c r="L66">
        <f t="shared" si="11"/>
        <v>1.0042799955563799</v>
      </c>
      <c r="M66">
        <f t="shared" si="12"/>
        <v>0.85997277752014012</v>
      </c>
    </row>
    <row r="67" spans="1:13" x14ac:dyDescent="0.25">
      <c r="A67" t="s">
        <v>89</v>
      </c>
      <c r="B67">
        <f t="shared" si="1"/>
        <v>0.28772846590470014</v>
      </c>
      <c r="C67">
        <f t="shared" si="2"/>
        <v>37.328081793175841</v>
      </c>
      <c r="D67">
        <f t="shared" si="3"/>
        <v>1.0049629315732038</v>
      </c>
      <c r="E67">
        <f t="shared" si="4"/>
        <v>1.002093081478175</v>
      </c>
      <c r="F67">
        <f t="shared" si="5"/>
        <v>0.12415059755838281</v>
      </c>
      <c r="G67">
        <f t="shared" si="6"/>
        <v>3.1815037306322076E-2</v>
      </c>
      <c r="H67">
        <f t="shared" si="7"/>
        <v>5.0886800163239293E-2</v>
      </c>
      <c r="I67">
        <f t="shared" si="8"/>
        <v>1</v>
      </c>
      <c r="J67">
        <f t="shared" si="9"/>
        <v>1</v>
      </c>
      <c r="K67">
        <f t="shared" si="10"/>
        <v>61.071139061175565</v>
      </c>
      <c r="L67">
        <f t="shared" si="11"/>
        <v>1.0042799955563799</v>
      </c>
      <c r="M67">
        <f t="shared" si="12"/>
        <v>0.85975828579045088</v>
      </c>
    </row>
    <row r="68" spans="1:13" x14ac:dyDescent="0.25">
      <c r="A68" t="s">
        <v>90</v>
      </c>
      <c r="B68">
        <f t="shared" si="1"/>
        <v>0.28772846590470014</v>
      </c>
      <c r="C68">
        <f t="shared" si="2"/>
        <v>37.37043222504419</v>
      </c>
      <c r="D68">
        <f t="shared" si="3"/>
        <v>1.0049629315732038</v>
      </c>
      <c r="E68">
        <f t="shared" si="4"/>
        <v>1.002093081478175</v>
      </c>
      <c r="F68">
        <f t="shared" si="5"/>
        <v>0.12601637859356324</v>
      </c>
      <c r="G68">
        <f t="shared" si="6"/>
        <v>3.1972933159472278E-2</v>
      </c>
      <c r="H68">
        <f t="shared" si="7"/>
        <v>5.1139347870428745E-2</v>
      </c>
      <c r="I68">
        <f t="shared" si="8"/>
        <v>1</v>
      </c>
      <c r="J68">
        <f t="shared" si="9"/>
        <v>1</v>
      </c>
      <c r="K68">
        <f t="shared" si="10"/>
        <v>61.169553587788116</v>
      </c>
      <c r="L68">
        <f t="shared" si="11"/>
        <v>1.0042799955563799</v>
      </c>
      <c r="M68">
        <f t="shared" si="12"/>
        <v>0.85954384755862023</v>
      </c>
    </row>
    <row r="69" spans="1:13" x14ac:dyDescent="0.25">
      <c r="A69" t="s">
        <v>91</v>
      </c>
      <c r="B69">
        <f t="shared" si="1"/>
        <v>0.28772846590470014</v>
      </c>
      <c r="C69">
        <f t="shared" si="2"/>
        <v>37.412830705432398</v>
      </c>
      <c r="D69">
        <f t="shared" si="3"/>
        <v>1.0049629315732038</v>
      </c>
      <c r="E69">
        <f t="shared" si="4"/>
        <v>1.002093081478175</v>
      </c>
      <c r="F69">
        <f t="shared" si="5"/>
        <v>0.12791019927526734</v>
      </c>
      <c r="G69">
        <f t="shared" si="6"/>
        <v>3.2131612638937358E-2</v>
      </c>
      <c r="H69">
        <f t="shared" si="7"/>
        <v>5.1393148954607948E-2</v>
      </c>
      <c r="I69">
        <f t="shared" si="8"/>
        <v>1</v>
      </c>
      <c r="J69">
        <f t="shared" si="9"/>
        <v>1</v>
      </c>
      <c r="K69">
        <f t="shared" si="10"/>
        <v>61.268126706809412</v>
      </c>
      <c r="L69">
        <f t="shared" si="11"/>
        <v>1.0042799955563799</v>
      </c>
      <c r="M69">
        <f t="shared" si="12"/>
        <v>0.85932946281130507</v>
      </c>
    </row>
    <row r="70" spans="1:13" x14ac:dyDescent="0.25">
      <c r="A70" t="s">
        <v>92</v>
      </c>
      <c r="B70">
        <f t="shared" si="1"/>
        <v>0.28772846590470014</v>
      </c>
      <c r="C70">
        <f t="shared" si="2"/>
        <v>37.455277288853729</v>
      </c>
      <c r="D70">
        <f t="shared" si="3"/>
        <v>1.0049629315732038</v>
      </c>
      <c r="E70">
        <f t="shared" si="4"/>
        <v>1.002093081478175</v>
      </c>
      <c r="F70">
        <f t="shared" si="5"/>
        <v>0.12983248099365952</v>
      </c>
      <c r="G70">
        <f t="shared" si="6"/>
        <v>3.2291079633801095E-2</v>
      </c>
      <c r="H70">
        <f t="shared" si="7"/>
        <v>5.1648209636201141E-2</v>
      </c>
      <c r="I70">
        <f t="shared" si="8"/>
        <v>1</v>
      </c>
      <c r="J70">
        <f t="shared" si="9"/>
        <v>1</v>
      </c>
      <c r="K70">
        <f t="shared" si="10"/>
        <v>61.366858673806924</v>
      </c>
      <c r="L70">
        <f t="shared" si="11"/>
        <v>1.0042799955563799</v>
      </c>
      <c r="M70">
        <f t="shared" si="12"/>
        <v>0.85911513153516528</v>
      </c>
    </row>
    <row r="71" spans="1:13" x14ac:dyDescent="0.25">
      <c r="A71" t="s">
        <v>93</v>
      </c>
      <c r="B71">
        <f t="shared" si="1"/>
        <v>0.28772846590470014</v>
      </c>
      <c r="C71">
        <f t="shared" si="2"/>
        <v>37.497772029883301</v>
      </c>
      <c r="D71">
        <f t="shared" si="3"/>
        <v>1.0049629315732038</v>
      </c>
      <c r="E71">
        <f t="shared" si="4"/>
        <v>1.002093081478175</v>
      </c>
      <c r="F71">
        <f t="shared" si="5"/>
        <v>0.1317836514717112</v>
      </c>
      <c r="G71">
        <f t="shared" si="6"/>
        <v>3.2451338052448528E-2</v>
      </c>
      <c r="H71">
        <f t="shared" si="7"/>
        <v>5.1904536166504096E-2</v>
      </c>
      <c r="I71">
        <f t="shared" si="8"/>
        <v>1</v>
      </c>
      <c r="J71">
        <f t="shared" si="9"/>
        <v>1</v>
      </c>
      <c r="K71">
        <f t="shared" si="10"/>
        <v>61.465749744759968</v>
      </c>
      <c r="L71">
        <f t="shared" si="11"/>
        <v>1.0042799955563799</v>
      </c>
      <c r="M71">
        <f t="shared" si="12"/>
        <v>0.85890085371686431</v>
      </c>
    </row>
    <row r="72" spans="1:13" x14ac:dyDescent="0.25">
      <c r="A72" t="s">
        <v>94</v>
      </c>
      <c r="B72">
        <f t="shared" si="1"/>
        <v>0.28772846590470014</v>
      </c>
      <c r="C72">
        <f t="shared" si="2"/>
        <v>37.54031498315814</v>
      </c>
      <c r="D72">
        <f t="shared" si="3"/>
        <v>1.0049629315732038</v>
      </c>
      <c r="E72">
        <f t="shared" si="4"/>
        <v>1.002093081478175</v>
      </c>
      <c r="F72">
        <f t="shared" si="5"/>
        <v>0.13376414486037264</v>
      </c>
      <c r="G72">
        <f t="shared" si="6"/>
        <v>3.2612391822661735E-2</v>
      </c>
      <c r="H72">
        <f t="shared" si="7"/>
        <v>5.2162134827837339E-2</v>
      </c>
      <c r="I72">
        <f t="shared" si="8"/>
        <v>1</v>
      </c>
      <c r="J72">
        <f t="shared" si="9"/>
        <v>1</v>
      </c>
      <c r="K72">
        <f t="shared" si="10"/>
        <v>61.564800176060366</v>
      </c>
      <c r="L72">
        <f t="shared" si="11"/>
        <v>1.0042799955563799</v>
      </c>
      <c r="M72">
        <f t="shared" si="12"/>
        <v>0.85868662934306894</v>
      </c>
    </row>
    <row r="73" spans="1:13" x14ac:dyDescent="0.25">
      <c r="A73" t="s">
        <v>95</v>
      </c>
      <c r="B73">
        <f t="shared" si="1"/>
        <v>0.28772846590470014</v>
      </c>
      <c r="C73">
        <f t="shared" si="2"/>
        <v>37.582906203377263</v>
      </c>
      <c r="D73">
        <f t="shared" si="3"/>
        <v>1.0049629315732038</v>
      </c>
      <c r="E73">
        <f t="shared" si="4"/>
        <v>1.002093081478175</v>
      </c>
      <c r="F73">
        <f t="shared" si="5"/>
        <v>0.13577440183517492</v>
      </c>
      <c r="G73">
        <f t="shared" si="6"/>
        <v>3.2774244891716119E-2</v>
      </c>
      <c r="H73">
        <f t="shared" si="7"/>
        <v>5.2421011933700128E-2</v>
      </c>
      <c r="I73">
        <f t="shared" si="8"/>
        <v>1</v>
      </c>
      <c r="J73">
        <f t="shared" si="9"/>
        <v>1</v>
      </c>
      <c r="K73">
        <f t="shared" si="10"/>
        <v>61.664010224513106</v>
      </c>
      <c r="L73">
        <f t="shared" si="11"/>
        <v>1.0042799955563799</v>
      </c>
      <c r="M73">
        <f t="shared" si="12"/>
        <v>0.85847245840044917</v>
      </c>
    </row>
    <row r="74" spans="1:13" x14ac:dyDescent="0.25">
      <c r="A74" t="s">
        <v>96</v>
      </c>
      <c r="B74">
        <f t="shared" si="1"/>
        <v>0.28772846590470014</v>
      </c>
      <c r="C74">
        <f t="shared" si="2"/>
        <v>37.625545745301743</v>
      </c>
      <c r="D74">
        <f t="shared" si="3"/>
        <v>1.0049629315732038</v>
      </c>
      <c r="E74">
        <f t="shared" si="4"/>
        <v>1.002093081478175</v>
      </c>
      <c r="F74">
        <f t="shared" si="5"/>
        <v>0.13781486969428375</v>
      </c>
      <c r="G74">
        <f t="shared" si="6"/>
        <v>3.2936901226477133E-2</v>
      </c>
      <c r="H74">
        <f t="shared" si="7"/>
        <v>5.2681173828925183E-2</v>
      </c>
      <c r="I74">
        <f t="shared" si="8"/>
        <v>1</v>
      </c>
      <c r="J74">
        <f t="shared" si="9"/>
        <v>1</v>
      </c>
      <c r="K74">
        <f t="shared" si="10"/>
        <v>61.76338014733701</v>
      </c>
      <c r="L74">
        <f t="shared" si="11"/>
        <v>1.0042799955563799</v>
      </c>
      <c r="M74">
        <f t="shared" si="12"/>
        <v>0.85825834087567832</v>
      </c>
    </row>
    <row r="75" spans="1:13" x14ac:dyDescent="0.25">
      <c r="A75" t="s">
        <v>97</v>
      </c>
      <c r="B75">
        <f t="shared" si="1"/>
        <v>0.28772846590470014</v>
      </c>
      <c r="C75">
        <f t="shared" si="2"/>
        <v>37.668233663754791</v>
      </c>
      <c r="D75">
        <f t="shared" si="3"/>
        <v>1.0049629315732038</v>
      </c>
      <c r="E75">
        <f t="shared" si="4"/>
        <v>1.002093081478175</v>
      </c>
      <c r="F75">
        <f t="shared" si="5"/>
        <v>0.13988600245802688</v>
      </c>
      <c r="G75">
        <f t="shared" si="6"/>
        <v>3.3100364813497513E-2</v>
      </c>
      <c r="H75">
        <f t="shared" si="7"/>
        <v>5.2942626889834192E-2</v>
      </c>
      <c r="I75">
        <f t="shared" si="8"/>
        <v>1</v>
      </c>
      <c r="J75">
        <f t="shared" si="9"/>
        <v>1</v>
      </c>
      <c r="K75">
        <f t="shared" si="10"/>
        <v>61.862910202165402</v>
      </c>
      <c r="L75">
        <f t="shared" si="11"/>
        <v>1.0042799955563799</v>
      </c>
      <c r="M75">
        <f t="shared" si="12"/>
        <v>0.85804427675543316</v>
      </c>
    </row>
    <row r="76" spans="1:13" x14ac:dyDescent="0.25">
      <c r="A76" t="s">
        <v>98</v>
      </c>
      <c r="B76">
        <f t="shared" si="1"/>
        <v>0.28772846590470014</v>
      </c>
      <c r="C76">
        <f t="shared" si="2"/>
        <v>37.710970013621811</v>
      </c>
      <c r="D76">
        <f t="shared" si="3"/>
        <v>1.0049629315732038</v>
      </c>
      <c r="E76">
        <f t="shared" si="4"/>
        <v>1.002093081478175</v>
      </c>
      <c r="F76">
        <f t="shared" si="5"/>
        <v>0.14198826096991726</v>
      </c>
      <c r="G76">
        <f t="shared" si="6"/>
        <v>3.3264639659114983E-2</v>
      </c>
      <c r="H76">
        <f t="shared" si="7"/>
        <v>5.3205377524394103E-2</v>
      </c>
      <c r="I76">
        <f t="shared" si="8"/>
        <v>1</v>
      </c>
      <c r="J76">
        <f t="shared" si="9"/>
        <v>1</v>
      </c>
      <c r="K76">
        <f t="shared" si="10"/>
        <v>61.962600647046777</v>
      </c>
      <c r="L76">
        <f t="shared" si="11"/>
        <v>1.0042799955563799</v>
      </c>
      <c r="M76">
        <f t="shared" si="12"/>
        <v>0.85783026602639356</v>
      </c>
    </row>
    <row r="77" spans="1:13" x14ac:dyDescent="0.25">
      <c r="A77" t="s">
        <v>99</v>
      </c>
      <c r="B77">
        <f t="shared" si="1"/>
        <v>0.28772846590470014</v>
      </c>
      <c r="C77">
        <f t="shared" si="2"/>
        <v>37.753754849850473</v>
      </c>
      <c r="D77">
        <f t="shared" si="3"/>
        <v>1.0049629315732038</v>
      </c>
      <c r="E77">
        <f t="shared" si="4"/>
        <v>1.002093081478175</v>
      </c>
      <c r="F77">
        <f t="shared" si="5"/>
        <v>0.14412211299919436</v>
      </c>
      <c r="G77">
        <f t="shared" si="6"/>
        <v>3.3429729789550451E-2</v>
      </c>
      <c r="H77">
        <f t="shared" si="7"/>
        <v>5.3469432172374147E-2</v>
      </c>
      <c r="I77">
        <f t="shared" si="8"/>
        <v>1</v>
      </c>
      <c r="J77">
        <f t="shared" si="9"/>
        <v>1</v>
      </c>
      <c r="K77">
        <f t="shared" si="10"/>
        <v>62.062451740445468</v>
      </c>
      <c r="L77">
        <f t="shared" si="11"/>
        <v>1.0042799955563799</v>
      </c>
      <c r="M77">
        <f t="shared" si="12"/>
        <v>0.85761630867524297</v>
      </c>
    </row>
    <row r="78" spans="1:13" x14ac:dyDescent="0.25">
      <c r="A78" t="s">
        <v>100</v>
      </c>
      <c r="B78">
        <f t="shared" si="1"/>
        <v>0.28772846590470014</v>
      </c>
      <c r="C78">
        <f t="shared" si="2"/>
        <v>37.796588227450798</v>
      </c>
      <c r="D78">
        <f t="shared" si="3"/>
        <v>1.0049629315732038</v>
      </c>
      <c r="E78">
        <f t="shared" si="4"/>
        <v>1.002093081478175</v>
      </c>
      <c r="F78">
        <f t="shared" si="5"/>
        <v>0.14628803334490653</v>
      </c>
      <c r="G78">
        <f t="shared" si="6"/>
        <v>3.3595639251006684E-2</v>
      </c>
      <c r="H78">
        <f t="shared" si="7"/>
        <v>5.37347973055037E-2</v>
      </c>
      <c r="I78">
        <f t="shared" si="8"/>
        <v>1</v>
      </c>
      <c r="J78">
        <f t="shared" si="9"/>
        <v>1</v>
      </c>
      <c r="K78">
        <f t="shared" si="10"/>
        <v>62.162463741242313</v>
      </c>
      <c r="L78">
        <f t="shared" si="11"/>
        <v>1.0042799955563799</v>
      </c>
      <c r="M78">
        <f t="shared" si="12"/>
        <v>0.85740240468866802</v>
      </c>
    </row>
    <row r="79" spans="1:13" x14ac:dyDescent="0.25">
      <c r="A79" t="s">
        <v>101</v>
      </c>
      <c r="B79">
        <f t="shared" si="1"/>
        <v>0.28772846590470014</v>
      </c>
      <c r="C79">
        <f t="shared" si="2"/>
        <v>37.83947020149521</v>
      </c>
      <c r="D79">
        <f t="shared" si="3"/>
        <v>1.0049629315732038</v>
      </c>
      <c r="E79">
        <f t="shared" si="4"/>
        <v>1.002093081478175</v>
      </c>
      <c r="F79">
        <f t="shared" si="5"/>
        <v>0.14848650394155763</v>
      </c>
      <c r="G79">
        <f t="shared" si="6"/>
        <v>3.3762372109767472E-2</v>
      </c>
      <c r="H79">
        <f t="shared" si="7"/>
        <v>5.4001479427630894E-2</v>
      </c>
      <c r="I79">
        <f t="shared" si="8"/>
        <v>1</v>
      </c>
      <c r="J79">
        <f t="shared" si="9"/>
        <v>1</v>
      </c>
      <c r="K79">
        <f t="shared" si="10"/>
        <v>62.262636908735324</v>
      </c>
      <c r="L79">
        <f t="shared" si="11"/>
        <v>1.0042799955563799</v>
      </c>
      <c r="M79">
        <f t="shared" si="12"/>
        <v>0.8571885540533587</v>
      </c>
    </row>
    <row r="80" spans="1:13" x14ac:dyDescent="0.25">
      <c r="A80" t="s">
        <v>102</v>
      </c>
      <c r="B80">
        <f t="shared" si="1"/>
        <v>0.28772846590470014</v>
      </c>
      <c r="C80">
        <f t="shared" si="2"/>
        <v>37.882400827118616</v>
      </c>
      <c r="D80">
        <f t="shared" si="3"/>
        <v>1.0049629315732038</v>
      </c>
      <c r="E80">
        <f t="shared" si="4"/>
        <v>1.002093081478175</v>
      </c>
      <c r="F80">
        <f t="shared" si="5"/>
        <v>0.15071801396634119</v>
      </c>
      <c r="G80">
        <f t="shared" si="6"/>
        <v>3.3929932452297293E-2</v>
      </c>
      <c r="H80">
        <f t="shared" si="7"/>
        <v>5.4269485074882003E-2</v>
      </c>
      <c r="I80">
        <f t="shared" si="8"/>
        <v>1</v>
      </c>
      <c r="J80">
        <f t="shared" si="9"/>
        <v>1</v>
      </c>
      <c r="K80">
        <f t="shared" si="10"/>
        <v>62.362971502640384</v>
      </c>
      <c r="L80">
        <f t="shared" si="11"/>
        <v>1.0042799955563799</v>
      </c>
      <c r="M80">
        <f t="shared" si="12"/>
        <v>0.85697475675600832</v>
      </c>
    </row>
    <row r="81" spans="1:13" x14ac:dyDescent="0.25">
      <c r="A81" t="s">
        <v>103</v>
      </c>
      <c r="B81">
        <f t="shared" si="1"/>
        <v>0.28772846590470014</v>
      </c>
      <c r="C81">
        <f t="shared" si="2"/>
        <v>37.925380159518483</v>
      </c>
      <c r="D81">
        <f t="shared" si="3"/>
        <v>1.0049629315732038</v>
      </c>
      <c r="E81">
        <f t="shared" si="4"/>
        <v>1.002093081478175</v>
      </c>
      <c r="F81">
        <f t="shared" si="5"/>
        <v>0.15298305994798633</v>
      </c>
      <c r="G81">
        <f t="shared" si="6"/>
        <v>3.4098324385341473E-2</v>
      </c>
      <c r="H81">
        <f t="shared" si="7"/>
        <v>5.4538820815821648E-2</v>
      </c>
      <c r="I81">
        <f t="shared" si="8"/>
        <v>1</v>
      </c>
      <c r="J81">
        <f t="shared" si="9"/>
        <v>1</v>
      </c>
      <c r="K81">
        <f t="shared" si="10"/>
        <v>62.463467783091886</v>
      </c>
      <c r="L81">
        <f t="shared" si="11"/>
        <v>1.0042799955563799</v>
      </c>
      <c r="M81">
        <f t="shared" si="12"/>
        <v>0.8567610127833134</v>
      </c>
    </row>
    <row r="82" spans="1:13" x14ac:dyDescent="0.25">
      <c r="A82" t="s">
        <v>104</v>
      </c>
      <c r="B82">
        <f t="shared" si="1"/>
        <v>0.28772846590470014</v>
      </c>
      <c r="C82">
        <f t="shared" si="2"/>
        <v>37.968408253954891</v>
      </c>
      <c r="D82">
        <f t="shared" si="3"/>
        <v>1.0049629315732038</v>
      </c>
      <c r="E82">
        <f t="shared" si="4"/>
        <v>1.002093081478175</v>
      </c>
      <c r="F82">
        <f t="shared" si="5"/>
        <v>0.15528214587723926</v>
      </c>
      <c r="G82">
        <f t="shared" si="6"/>
        <v>3.4267552036026827E-2</v>
      </c>
      <c r="H82">
        <f t="shared" si="7"/>
        <v>5.4809493251613793E-2</v>
      </c>
      <c r="I82">
        <f t="shared" si="8"/>
        <v>1</v>
      </c>
      <c r="J82">
        <f t="shared" si="9"/>
        <v>1</v>
      </c>
      <c r="K82">
        <f t="shared" si="10"/>
        <v>62.56412601064342</v>
      </c>
      <c r="L82">
        <f t="shared" si="11"/>
        <v>1.0042799955563799</v>
      </c>
      <c r="M82">
        <f t="shared" si="12"/>
        <v>0.85654732212197393</v>
      </c>
    </row>
    <row r="83" spans="1:13" x14ac:dyDescent="0.25">
      <c r="A83" t="s">
        <v>105</v>
      </c>
      <c r="B83">
        <f t="shared" si="1"/>
        <v>0.28772846590470014</v>
      </c>
      <c r="C83">
        <f t="shared" si="2"/>
        <v>38.011485165750628</v>
      </c>
      <c r="D83">
        <f t="shared" si="3"/>
        <v>1.0049629315732038</v>
      </c>
      <c r="E83">
        <f t="shared" si="4"/>
        <v>1.002093081478175</v>
      </c>
      <c r="F83">
        <f t="shared" si="5"/>
        <v>0.15761578331900533</v>
      </c>
      <c r="G83">
        <f t="shared" si="6"/>
        <v>3.4437619551962832E-2</v>
      </c>
      <c r="H83">
        <f t="shared" si="7"/>
        <v>5.5081509016183527E-2</v>
      </c>
      <c r="I83">
        <f t="shared" si="8"/>
        <v>1</v>
      </c>
      <c r="J83">
        <f t="shared" si="9"/>
        <v>1</v>
      </c>
      <c r="K83">
        <f t="shared" si="10"/>
        <v>62.664946446268466</v>
      </c>
      <c r="L83">
        <f t="shared" si="11"/>
        <v>1.0042799955563799</v>
      </c>
      <c r="M83">
        <f t="shared" si="12"/>
        <v>0.8563336847586932</v>
      </c>
    </row>
    <row r="84" spans="1:13" x14ac:dyDescent="0.25">
      <c r="A84" t="s">
        <v>106</v>
      </c>
      <c r="B84">
        <f t="shared" si="1"/>
        <v>0.28772846590470014</v>
      </c>
      <c r="C84">
        <f t="shared" si="2"/>
        <v>38.054610950291242</v>
      </c>
      <c r="D84">
        <f t="shared" si="3"/>
        <v>1.0049629315732038</v>
      </c>
      <c r="E84">
        <f t="shared" si="4"/>
        <v>1.002093081478175</v>
      </c>
      <c r="F84">
        <f t="shared" si="5"/>
        <v>0.15998449152617619</v>
      </c>
      <c r="G84">
        <f t="shared" si="6"/>
        <v>3.4608531101343251E-2</v>
      </c>
      <c r="H84">
        <f t="shared" si="7"/>
        <v>5.5354874776379653E-2</v>
      </c>
      <c r="I84">
        <f t="shared" si="8"/>
        <v>1</v>
      </c>
      <c r="J84">
        <f t="shared" si="9"/>
        <v>1</v>
      </c>
      <c r="K84">
        <f t="shared" si="10"/>
        <v>62.765929351361045</v>
      </c>
      <c r="L84">
        <f t="shared" si="11"/>
        <v>1.0042799955563799</v>
      </c>
      <c r="M84">
        <f t="shared" si="12"/>
        <v>0.85612010068017763</v>
      </c>
    </row>
    <row r="85" spans="1:13" x14ac:dyDescent="0.25">
      <c r="A85" t="s">
        <v>107</v>
      </c>
      <c r="B85">
        <f t="shared" si="1"/>
        <v>0.28772846590470014</v>
      </c>
      <c r="C85">
        <f t="shared" si="2"/>
        <v>38.097785663025114</v>
      </c>
      <c r="D85">
        <f t="shared" si="3"/>
        <v>1.0049629315732038</v>
      </c>
      <c r="E85">
        <f t="shared" si="4"/>
        <v>1.002093081478175</v>
      </c>
      <c r="F85">
        <f t="shared" si="5"/>
        <v>0.16238879755516775</v>
      </c>
      <c r="G85">
        <f t="shared" si="6"/>
        <v>3.4780290873048313E-2</v>
      </c>
      <c r="H85">
        <f t="shared" si="7"/>
        <v>5.5629597232138089E-2</v>
      </c>
      <c r="I85">
        <f t="shared" si="8"/>
        <v>1</v>
      </c>
      <c r="J85">
        <f t="shared" si="9"/>
        <v>1</v>
      </c>
      <c r="K85">
        <f t="shared" si="10"/>
        <v>62.867074987736409</v>
      </c>
      <c r="L85">
        <f t="shared" si="11"/>
        <v>1.0042799955563799</v>
      </c>
      <c r="M85">
        <f t="shared" si="12"/>
        <v>0.85590656987313729</v>
      </c>
    </row>
    <row r="86" spans="1:13" x14ac:dyDescent="0.25">
      <c r="A86" t="s">
        <v>108</v>
      </c>
      <c r="B86">
        <f t="shared" si="1"/>
        <v>0.28772846590470014</v>
      </c>
      <c r="C86">
        <f t="shared" si="2"/>
        <v>38.141009359463538</v>
      </c>
      <c r="D86">
        <f t="shared" si="3"/>
        <v>1.0049629315732038</v>
      </c>
      <c r="E86">
        <f t="shared" si="4"/>
        <v>1.002093081478175</v>
      </c>
      <c r="F86">
        <f t="shared" si="5"/>
        <v>0.16482923638319438</v>
      </c>
      <c r="G86">
        <f t="shared" si="6"/>
        <v>3.495290307674738E-2</v>
      </c>
      <c r="H86">
        <f t="shared" si="7"/>
        <v>5.5905683116646079E-2</v>
      </c>
      <c r="I86">
        <f t="shared" si="8"/>
        <v>1</v>
      </c>
      <c r="J86">
        <f t="shared" si="9"/>
        <v>1</v>
      </c>
      <c r="K86">
        <f t="shared" si="10"/>
        <v>62.968383617631723</v>
      </c>
      <c r="L86">
        <f t="shared" si="11"/>
        <v>1.0042799955563799</v>
      </c>
      <c r="M86">
        <f t="shared" si="12"/>
        <v>0.85569309232428525</v>
      </c>
    </row>
    <row r="87" spans="1:13" x14ac:dyDescent="0.25">
      <c r="A87" t="s">
        <v>109</v>
      </c>
      <c r="B87">
        <f t="shared" si="1"/>
        <v>0.28772846590470014</v>
      </c>
      <c r="C87">
        <f t="shared" si="2"/>
        <v>38.184282095180791</v>
      </c>
      <c r="D87">
        <f t="shared" si="3"/>
        <v>1.0049629315732038</v>
      </c>
      <c r="E87">
        <f t="shared" si="4"/>
        <v>1.002093081478175</v>
      </c>
      <c r="F87">
        <f t="shared" si="5"/>
        <v>0.16730635102730565</v>
      </c>
      <c r="G87">
        <f t="shared" si="6"/>
        <v>3.5126371943002103E-2</v>
      </c>
      <c r="H87">
        <f t="shared" si="7"/>
        <v>5.6183139196507213E-2</v>
      </c>
      <c r="I87">
        <f t="shared" si="8"/>
        <v>1</v>
      </c>
      <c r="J87">
        <f t="shared" si="9"/>
        <v>1</v>
      </c>
      <c r="K87">
        <f t="shared" si="10"/>
        <v>63.069855503706734</v>
      </c>
      <c r="L87">
        <f t="shared" si="11"/>
        <v>1.0042799955563799</v>
      </c>
      <c r="M87">
        <f t="shared" si="12"/>
        <v>0.85547966802033804</v>
      </c>
    </row>
    <row r="88" spans="1:13" x14ac:dyDescent="0.25">
      <c r="A88" t="s">
        <v>110</v>
      </c>
      <c r="B88">
        <f t="shared" si="1"/>
        <v>0.28772846590470014</v>
      </c>
      <c r="C88">
        <f t="shared" si="2"/>
        <v>38.227603925814194</v>
      </c>
      <c r="D88">
        <f t="shared" si="3"/>
        <v>1.0049629315732038</v>
      </c>
      <c r="E88">
        <f t="shared" si="4"/>
        <v>1.002093081478175</v>
      </c>
      <c r="F88">
        <f t="shared" si="5"/>
        <v>0.16982069266521191</v>
      </c>
      <c r="G88">
        <f t="shared" si="6"/>
        <v>3.5300701723370131E-2</v>
      </c>
      <c r="H88">
        <f t="shared" si="7"/>
        <v>5.6461972271907267E-2</v>
      </c>
      <c r="I88">
        <f t="shared" si="8"/>
        <v>1</v>
      </c>
      <c r="J88">
        <f t="shared" si="9"/>
        <v>1</v>
      </c>
      <c r="K88">
        <f t="shared" si="10"/>
        <v>63.171490909044465</v>
      </c>
      <c r="L88">
        <f t="shared" si="11"/>
        <v>1.0042799955563799</v>
      </c>
      <c r="M88">
        <f t="shared" si="12"/>
        <v>0.85526629694801548</v>
      </c>
    </row>
    <row r="89" spans="1:13" x14ac:dyDescent="0.25">
      <c r="A89" t="s">
        <v>111</v>
      </c>
      <c r="B89">
        <f t="shared" si="1"/>
        <v>0.28772846590470014</v>
      </c>
      <c r="C89">
        <f t="shared" si="2"/>
        <v>38.270974907064193</v>
      </c>
      <c r="D89">
        <f t="shared" si="3"/>
        <v>1.0049629315732038</v>
      </c>
      <c r="E89">
        <f t="shared" si="4"/>
        <v>1.002093081478175</v>
      </c>
      <c r="F89">
        <f t="shared" si="5"/>
        <v>0.1723728207579257</v>
      </c>
      <c r="G89">
        <f t="shared" si="6"/>
        <v>3.5475896690509295E-2</v>
      </c>
      <c r="H89">
        <f t="shared" si="7"/>
        <v>5.6742189176780873E-2</v>
      </c>
      <c r="I89">
        <f t="shared" si="8"/>
        <v>1</v>
      </c>
      <c r="J89">
        <f t="shared" si="9"/>
        <v>1</v>
      </c>
      <c r="K89">
        <f t="shared" si="10"/>
        <v>63.273290097151879</v>
      </c>
      <c r="L89">
        <f t="shared" si="11"/>
        <v>1.0042799955563799</v>
      </c>
      <c r="M89">
        <f t="shared" si="12"/>
        <v>0.85505297909404077</v>
      </c>
    </row>
    <row r="90" spans="1:13" x14ac:dyDescent="0.25">
      <c r="A90" t="s">
        <v>112</v>
      </c>
      <c r="B90">
        <f t="shared" si="1"/>
        <v>0.28772846590470014</v>
      </c>
      <c r="C90">
        <f t="shared" si="2"/>
        <v>38.31439509469444</v>
      </c>
      <c r="D90">
        <f t="shared" si="3"/>
        <v>1.0049629315732038</v>
      </c>
      <c r="E90">
        <f t="shared" si="4"/>
        <v>1.002093081478175</v>
      </c>
      <c r="F90">
        <f t="shared" si="5"/>
        <v>0.17496330317424635</v>
      </c>
      <c r="G90">
        <f t="shared" si="6"/>
        <v>3.565196113828234E-2</v>
      </c>
      <c r="H90">
        <f t="shared" si="7"/>
        <v>5.7023796778979022E-2</v>
      </c>
      <c r="I90">
        <f t="shared" si="8"/>
        <v>1</v>
      </c>
      <c r="J90">
        <f t="shared" si="9"/>
        <v>1</v>
      </c>
      <c r="K90">
        <f t="shared" si="10"/>
        <v>63.375253331960586</v>
      </c>
      <c r="L90">
        <f t="shared" si="11"/>
        <v>1.0042799955563799</v>
      </c>
      <c r="M90">
        <f t="shared" si="12"/>
        <v>0.85483971444514029</v>
      </c>
    </row>
    <row r="91" spans="1:13" x14ac:dyDescent="0.25">
      <c r="A91" t="s">
        <v>113</v>
      </c>
      <c r="B91">
        <f t="shared" si="1"/>
        <v>0.28772846590470014</v>
      </c>
      <c r="C91">
        <f t="shared" si="2"/>
        <v>38.357864544531843</v>
      </c>
      <c r="D91">
        <f t="shared" si="3"/>
        <v>1.0049629315732038</v>
      </c>
      <c r="E91">
        <f t="shared" si="4"/>
        <v>1.002093081478175</v>
      </c>
      <c r="F91">
        <f t="shared" si="5"/>
        <v>0.17759271631711518</v>
      </c>
      <c r="G91">
        <f t="shared" si="6"/>
        <v>3.5828899381862157E-2</v>
      </c>
      <c r="H91">
        <f t="shared" si="7"/>
        <v>5.7306801980437375E-2</v>
      </c>
      <c r="I91">
        <f t="shared" si="8"/>
        <v>1</v>
      </c>
      <c r="J91">
        <f t="shared" si="9"/>
        <v>1</v>
      </c>
      <c r="K91">
        <f t="shared" si="10"/>
        <v>63.477380877827507</v>
      </c>
      <c r="L91">
        <f t="shared" si="11"/>
        <v>1.0042799955563799</v>
      </c>
      <c r="M91">
        <f t="shared" si="12"/>
        <v>0.85462650298804377</v>
      </c>
    </row>
    <row r="92" spans="1:13" x14ac:dyDescent="0.25">
      <c r="A92" t="s">
        <v>114</v>
      </c>
      <c r="B92">
        <f t="shared" si="1"/>
        <v>0.28772846590470014</v>
      </c>
      <c r="C92">
        <f t="shared" si="2"/>
        <v>38.401383312466642</v>
      </c>
      <c r="D92">
        <f t="shared" si="3"/>
        <v>1.0049629315732038</v>
      </c>
      <c r="E92">
        <f t="shared" si="4"/>
        <v>1.002093081478175</v>
      </c>
      <c r="F92">
        <f t="shared" si="5"/>
        <v>0.18026164525186986</v>
      </c>
      <c r="G92">
        <f t="shared" si="6"/>
        <v>3.6006715757837544E-2</v>
      </c>
      <c r="H92">
        <f t="shared" si="7"/>
        <v>5.7591211717345429E-2</v>
      </c>
      <c r="I92">
        <f t="shared" si="8"/>
        <v>1</v>
      </c>
      <c r="J92">
        <f t="shared" si="9"/>
        <v>1</v>
      </c>
      <c r="K92">
        <f t="shared" si="10"/>
        <v>63.579672999535575</v>
      </c>
      <c r="L92">
        <f t="shared" si="11"/>
        <v>1.0042799955563799</v>
      </c>
      <c r="M92">
        <f t="shared" si="12"/>
        <v>0.85441334470948427</v>
      </c>
    </row>
    <row r="93" spans="1:13" x14ac:dyDescent="0.25">
      <c r="A93" t="s">
        <v>115</v>
      </c>
      <c r="B93">
        <f t="shared" si="1"/>
        <v>0.28772846590470014</v>
      </c>
      <c r="C93">
        <f t="shared" si="2"/>
        <v>38.4449514544525</v>
      </c>
      <c r="D93">
        <f t="shared" si="3"/>
        <v>1.0049629315732038</v>
      </c>
      <c r="E93">
        <f t="shared" si="4"/>
        <v>1.002093081478175</v>
      </c>
      <c r="F93">
        <f t="shared" si="5"/>
        <v>0.18297068383642598</v>
      </c>
      <c r="G93">
        <f t="shared" si="6"/>
        <v>3.6185414624319491E-2</v>
      </c>
      <c r="H93">
        <f t="shared" si="7"/>
        <v>5.7877032960316509E-2</v>
      </c>
      <c r="I93">
        <f t="shared" si="8"/>
        <v>1</v>
      </c>
      <c r="J93">
        <f t="shared" si="9"/>
        <v>1</v>
      </c>
      <c r="K93">
        <f t="shared" si="10"/>
        <v>63.682129962294404</v>
      </c>
      <c r="L93">
        <f t="shared" si="11"/>
        <v>1.0042799955563799</v>
      </c>
      <c r="M93">
        <f t="shared" si="12"/>
        <v>0.85420023959619829</v>
      </c>
    </row>
    <row r="94" spans="1:13" x14ac:dyDescent="0.25">
      <c r="A94" t="s">
        <v>116</v>
      </c>
      <c r="B94">
        <f t="shared" si="1"/>
        <v>0.28772846590470014</v>
      </c>
      <c r="C94">
        <f t="shared" si="2"/>
        <v>38.488569026506561</v>
      </c>
      <c r="D94">
        <f t="shared" si="3"/>
        <v>1.0049629315732038</v>
      </c>
      <c r="E94">
        <f t="shared" si="4"/>
        <v>1.002093081478175</v>
      </c>
      <c r="F94">
        <f t="shared" si="5"/>
        <v>0.1857204348534153</v>
      </c>
      <c r="G94">
        <f t="shared" si="6"/>
        <v>3.6365000361047999E-2</v>
      </c>
      <c r="H94">
        <f t="shared" si="7"/>
        <v>5.8164272714558624E-2</v>
      </c>
      <c r="I94">
        <f t="shared" si="8"/>
        <v>1</v>
      </c>
      <c r="J94">
        <f t="shared" si="9"/>
        <v>1</v>
      </c>
      <c r="K94">
        <f t="shared" si="10"/>
        <v>63.784752031740993</v>
      </c>
      <c r="L94">
        <f t="shared" si="11"/>
        <v>1.0042799955563799</v>
      </c>
      <c r="M94">
        <f t="shared" si="12"/>
        <v>0.85398718763492543</v>
      </c>
    </row>
    <row r="95" spans="1:13" x14ac:dyDescent="0.25">
      <c r="A95" t="s">
        <v>117</v>
      </c>
      <c r="B95">
        <f t="shared" si="1"/>
        <v>0.28772846590470014</v>
      </c>
      <c r="C95">
        <f t="shared" si="2"/>
        <v>38.532236084709517</v>
      </c>
      <c r="D95">
        <f t="shared" si="3"/>
        <v>1.0049629315732038</v>
      </c>
      <c r="E95">
        <f t="shared" si="4"/>
        <v>1.002093081478175</v>
      </c>
      <c r="F95">
        <f t="shared" si="5"/>
        <v>0.18851151014430959</v>
      </c>
      <c r="G95">
        <f t="shared" si="6"/>
        <v>3.654547736949941E-2</v>
      </c>
      <c r="H95">
        <f t="shared" si="7"/>
        <v>5.8452938020046141E-2</v>
      </c>
      <c r="I95">
        <f t="shared" si="8"/>
        <v>1</v>
      </c>
      <c r="J95">
        <f t="shared" si="9"/>
        <v>1</v>
      </c>
      <c r="K95">
        <f t="shared" si="10"/>
        <v>63.887539473940407</v>
      </c>
      <c r="L95">
        <f t="shared" si="11"/>
        <v>1.0042799955563799</v>
      </c>
      <c r="M95">
        <f t="shared" si="12"/>
        <v>0.85377418881240863</v>
      </c>
    </row>
    <row r="96" spans="1:13" x14ac:dyDescent="0.25">
      <c r="A96" t="s">
        <v>118</v>
      </c>
      <c r="B96">
        <f t="shared" si="1"/>
        <v>0.28772846590470014</v>
      </c>
      <c r="C96">
        <f t="shared" si="2"/>
        <v>38.575952685205685</v>
      </c>
      <c r="D96">
        <f t="shared" si="3"/>
        <v>1.0049629315732038</v>
      </c>
      <c r="E96">
        <f t="shared" si="4"/>
        <v>1.002093081478175</v>
      </c>
      <c r="F96">
        <f t="shared" si="5"/>
        <v>0.19134453074556021</v>
      </c>
      <c r="G96">
        <f t="shared" si="6"/>
        <v>3.6726850072994303E-2</v>
      </c>
      <c r="H96">
        <f t="shared" si="7"/>
        <v>5.8743035951692356E-2</v>
      </c>
      <c r="I96">
        <f t="shared" si="8"/>
        <v>1</v>
      </c>
      <c r="J96">
        <f t="shared" si="9"/>
        <v>1</v>
      </c>
      <c r="K96">
        <f t="shared" si="10"/>
        <v>63.99049255538646</v>
      </c>
      <c r="L96">
        <f t="shared" si="11"/>
        <v>1.0042799955563799</v>
      </c>
      <c r="M96">
        <f t="shared" si="12"/>
        <v>0.85356124311539427</v>
      </c>
    </row>
    <row r="97" spans="1:13" x14ac:dyDescent="0.25">
      <c r="A97" t="s">
        <v>119</v>
      </c>
      <c r="B97">
        <f t="shared" si="1"/>
        <v>0.28772846590470014</v>
      </c>
      <c r="C97">
        <f t="shared" si="2"/>
        <v>38.619718884203088</v>
      </c>
      <c r="D97">
        <f t="shared" si="3"/>
        <v>1.0049629315732038</v>
      </c>
      <c r="E97">
        <f t="shared" si="4"/>
        <v>1.002093081478175</v>
      </c>
      <c r="F97">
        <f t="shared" si="5"/>
        <v>0.19422012702678373</v>
      </c>
      <c r="G97">
        <f t="shared" si="6"/>
        <v>3.6909122916805891E-2</v>
      </c>
      <c r="H97">
        <f t="shared" si="7"/>
        <v>5.9034573619522857E-2</v>
      </c>
      <c r="I97">
        <f t="shared" si="8"/>
        <v>1</v>
      </c>
      <c r="J97">
        <f t="shared" si="9"/>
        <v>1</v>
      </c>
      <c r="K97">
        <f t="shared" si="10"/>
        <v>64.093611543002424</v>
      </c>
      <c r="L97">
        <f t="shared" si="11"/>
        <v>1.0042799955563799</v>
      </c>
      <c r="M97">
        <f t="shared" si="12"/>
        <v>0.85334835053063185</v>
      </c>
    </row>
    <row r="98" spans="1:13" x14ac:dyDescent="0.25">
      <c r="A98" t="s">
        <v>120</v>
      </c>
      <c r="B98">
        <f t="shared" si="1"/>
        <v>0.28772846590470014</v>
      </c>
      <c r="C98">
        <f t="shared" si="2"/>
        <v>38.663534737973514</v>
      </c>
      <c r="D98">
        <f t="shared" si="3"/>
        <v>1.0049629315732038</v>
      </c>
      <c r="E98">
        <f t="shared" si="4"/>
        <v>1.002093081478175</v>
      </c>
      <c r="F98">
        <f t="shared" si="5"/>
        <v>0.19713893883102412</v>
      </c>
      <c r="G98">
        <f t="shared" si="6"/>
        <v>3.7092300368268966E-2</v>
      </c>
      <c r="H98">
        <f t="shared" si="7"/>
        <v>5.9327558168849812E-2</v>
      </c>
      <c r="I98">
        <f t="shared" si="8"/>
        <v>1</v>
      </c>
      <c r="J98">
        <f t="shared" si="9"/>
        <v>1</v>
      </c>
      <c r="K98">
        <f t="shared" si="10"/>
        <v>64.196896704141707</v>
      </c>
      <c r="L98">
        <f t="shared" si="11"/>
        <v>1.0042799955563799</v>
      </c>
      <c r="M98">
        <f t="shared" si="12"/>
        <v>0.8531355110448744</v>
      </c>
    </row>
    <row r="99" spans="1:13" x14ac:dyDescent="0.25">
      <c r="A99" t="s">
        <v>121</v>
      </c>
      <c r="B99">
        <f t="shared" si="1"/>
        <v>0.28772846590470014</v>
      </c>
      <c r="C99">
        <f t="shared" si="2"/>
        <v>38.707400302852591</v>
      </c>
      <c r="D99">
        <f t="shared" si="3"/>
        <v>1.0049629315732038</v>
      </c>
      <c r="E99">
        <f t="shared" si="4"/>
        <v>1.002093081478175</v>
      </c>
      <c r="F99">
        <f t="shared" si="5"/>
        <v>0.20010161561712295</v>
      </c>
      <c r="G99">
        <f t="shared" si="6"/>
        <v>3.7276386916889406E-2</v>
      </c>
      <c r="H99">
        <f t="shared" si="7"/>
        <v>5.9621996780447085E-2</v>
      </c>
      <c r="I99">
        <f t="shared" si="8"/>
        <v>1</v>
      </c>
      <c r="J99">
        <f t="shared" si="9"/>
        <v>1</v>
      </c>
      <c r="K99">
        <f t="shared" si="10"/>
        <v>64.30034830658856</v>
      </c>
      <c r="L99">
        <f t="shared" si="11"/>
        <v>1.0042799955563799</v>
      </c>
      <c r="M99">
        <f t="shared" si="12"/>
        <v>0.85292272464487806</v>
      </c>
    </row>
    <row r="100" spans="1:13" x14ac:dyDescent="0.25">
      <c r="A100" t="s">
        <v>122</v>
      </c>
      <c r="B100">
        <f t="shared" si="1"/>
        <v>0.28772846590470014</v>
      </c>
      <c r="C100">
        <f t="shared" si="2"/>
        <v>38.75131563523987</v>
      </c>
      <c r="D100">
        <f t="shared" si="3"/>
        <v>1.0049629315732038</v>
      </c>
      <c r="E100">
        <f t="shared" si="4"/>
        <v>1.002093081478175</v>
      </c>
      <c r="F100">
        <f t="shared" si="5"/>
        <v>0.20310881660422911</v>
      </c>
      <c r="G100">
        <f t="shared" si="6"/>
        <v>3.7461387074454199E-2</v>
      </c>
      <c r="H100">
        <f t="shared" si="7"/>
        <v>5.9917896670726223E-2</v>
      </c>
      <c r="I100">
        <f t="shared" si="8"/>
        <v>1</v>
      </c>
      <c r="J100">
        <f t="shared" si="9"/>
        <v>1</v>
      </c>
      <c r="K100">
        <f t="shared" si="10"/>
        <v>64.403966618558741</v>
      </c>
      <c r="L100">
        <f t="shared" si="11"/>
        <v>1.0042799955563799</v>
      </c>
      <c r="M100">
        <f t="shared" si="12"/>
        <v>0.85270999131740244</v>
      </c>
    </row>
    <row r="101" spans="1:13" x14ac:dyDescent="0.25">
      <c r="A101" t="s">
        <v>123</v>
      </c>
      <c r="B101">
        <f t="shared" si="1"/>
        <v>0.28772846590470014</v>
      </c>
      <c r="C101">
        <f t="shared" si="2"/>
        <v>38.795280791598884</v>
      </c>
      <c r="D101">
        <f t="shared" si="3"/>
        <v>1.0049629315732038</v>
      </c>
      <c r="E101">
        <f t="shared" si="4"/>
        <v>1.002093081478175</v>
      </c>
      <c r="F101">
        <f t="shared" si="5"/>
        <v>0.20616121091848041</v>
      </c>
      <c r="G101">
        <f t="shared" si="6"/>
        <v>3.7647305375142014E-2</v>
      </c>
      <c r="H101">
        <f t="shared" si="7"/>
        <v>6.0215265091913335E-2</v>
      </c>
      <c r="I101">
        <f t="shared" si="8"/>
        <v>1</v>
      </c>
      <c r="J101">
        <f t="shared" si="9"/>
        <v>1</v>
      </c>
      <c r="K101">
        <f t="shared" si="10"/>
        <v>64.507751908700243</v>
      </c>
      <c r="L101">
        <f t="shared" si="11"/>
        <v>1.0042799955563799</v>
      </c>
      <c r="M101">
        <f t="shared" si="12"/>
        <v>0.85249731104921023</v>
      </c>
    </row>
    <row r="102" spans="1:13" x14ac:dyDescent="0.25">
      <c r="A102" t="s">
        <v>124</v>
      </c>
      <c r="B102">
        <f t="shared" si="1"/>
        <v>0.28772846590470014</v>
      </c>
      <c r="C102">
        <f t="shared" si="2"/>
        <v>38.839295828457232</v>
      </c>
      <c r="D102">
        <f t="shared" si="3"/>
        <v>1.0049629315732038</v>
      </c>
      <c r="E102">
        <f t="shared" si="4"/>
        <v>1.002093081478175</v>
      </c>
      <c r="F102">
        <f t="shared" si="5"/>
        <v>0.20925947774188935</v>
      </c>
      <c r="G102">
        <f t="shared" si="6"/>
        <v>3.7834146375634349E-2</v>
      </c>
      <c r="H102">
        <f t="shared" si="7"/>
        <v>6.0514109332226833E-2</v>
      </c>
      <c r="I102">
        <f t="shared" si="8"/>
        <v>1</v>
      </c>
      <c r="J102">
        <f t="shared" si="9"/>
        <v>1</v>
      </c>
      <c r="K102">
        <f t="shared" si="10"/>
        <v>64.611704446093981</v>
      </c>
      <c r="L102">
        <f t="shared" si="11"/>
        <v>1.0042799955563799</v>
      </c>
      <c r="M102">
        <f t="shared" si="12"/>
        <v>0.85228468382706757</v>
      </c>
    </row>
    <row r="103" spans="1:13" x14ac:dyDescent="0.25">
      <c r="A103" t="s">
        <v>125</v>
      </c>
      <c r="B103">
        <f t="shared" si="1"/>
        <v>0.28772846590470014</v>
      </c>
      <c r="C103">
        <f t="shared" si="2"/>
        <v>38.883360802406642</v>
      </c>
      <c r="D103">
        <f t="shared" si="3"/>
        <v>1.0049629315732038</v>
      </c>
      <c r="E103">
        <f t="shared" si="4"/>
        <v>1.002093081478175</v>
      </c>
      <c r="F103">
        <f t="shared" si="5"/>
        <v>0.21240430646346659</v>
      </c>
      <c r="G103">
        <f t="shared" si="6"/>
        <v>3.8021914655227203E-2</v>
      </c>
      <c r="H103">
        <f t="shared" si="7"/>
        <v>6.0814436716056047E-2</v>
      </c>
      <c r="I103">
        <f t="shared" si="8"/>
        <v>1</v>
      </c>
      <c r="J103">
        <f t="shared" si="9"/>
        <v>1</v>
      </c>
      <c r="K103">
        <f t="shared" si="10"/>
        <v>64.71582450025447</v>
      </c>
      <c r="L103">
        <f t="shared" si="11"/>
        <v>1.0042799955563799</v>
      </c>
      <c r="M103">
        <f t="shared" si="12"/>
        <v>0.85207210963774394</v>
      </c>
    </row>
    <row r="104" spans="1:13" x14ac:dyDescent="0.25">
      <c r="A104" t="s">
        <v>126</v>
      </c>
      <c r="B104">
        <f t="shared" si="1"/>
        <v>0.28772846590470014</v>
      </c>
      <c r="C104">
        <f t="shared" si="2"/>
        <v>38.927475770103044</v>
      </c>
      <c r="D104">
        <f t="shared" si="3"/>
        <v>1.0049629315732038</v>
      </c>
      <c r="E104">
        <f t="shared" si="4"/>
        <v>1.002093081478175</v>
      </c>
      <c r="F104">
        <f t="shared" si="5"/>
        <v>0.21559639683261542</v>
      </c>
      <c r="G104">
        <f t="shared" si="6"/>
        <v>3.8210614815943289E-2</v>
      </c>
      <c r="H104">
        <f t="shared" si="7"/>
        <v>6.1116254604140767E-2</v>
      </c>
      <c r="I104">
        <f t="shared" si="8"/>
        <v>1</v>
      </c>
      <c r="J104">
        <f t="shared" si="9"/>
        <v>1</v>
      </c>
      <c r="K104">
        <f t="shared" si="10"/>
        <v>64.820112341130567</v>
      </c>
      <c r="L104">
        <f t="shared" si="11"/>
        <v>1.0042799955563799</v>
      </c>
      <c r="M104">
        <f t="shared" si="12"/>
        <v>0.85185958846801202</v>
      </c>
    </row>
    <row r="105" spans="1:13" x14ac:dyDescent="0.25">
      <c r="A105" t="s">
        <v>127</v>
      </c>
      <c r="B105">
        <f t="shared" si="1"/>
        <v>0.28772846590470014</v>
      </c>
      <c r="C105">
        <f t="shared" si="2"/>
        <v>38.971640788266662</v>
      </c>
      <c r="D105">
        <f t="shared" si="3"/>
        <v>1.0049629315732038</v>
      </c>
      <c r="E105">
        <f t="shared" si="4"/>
        <v>1.002093081478175</v>
      </c>
      <c r="F105">
        <f t="shared" si="5"/>
        <v>0.21883645911483168</v>
      </c>
      <c r="G105">
        <f t="shared" si="6"/>
        <v>3.8400251482644865E-2</v>
      </c>
      <c r="H105">
        <f t="shared" si="7"/>
        <v>6.1419570393751621E-2</v>
      </c>
      <c r="I105">
        <f t="shared" si="8"/>
        <v>1</v>
      </c>
      <c r="J105">
        <f t="shared" si="9"/>
        <v>1</v>
      </c>
      <c r="K105">
        <f t="shared" si="10"/>
        <v>64.924568239106122</v>
      </c>
      <c r="L105">
        <f t="shared" si="11"/>
        <v>1.0042799955563799</v>
      </c>
      <c r="M105">
        <f t="shared" si="12"/>
        <v>0.85164712030464784</v>
      </c>
    </row>
    <row r="106" spans="1:13" x14ac:dyDescent="0.25">
      <c r="A106" t="s">
        <v>128</v>
      </c>
      <c r="B106">
        <f t="shared" si="1"/>
        <v>0.28772846590470014</v>
      </c>
      <c r="C106">
        <f t="shared" si="2"/>
        <v>39.015855913682053</v>
      </c>
      <c r="D106">
        <f t="shared" si="3"/>
        <v>1.0049629315732038</v>
      </c>
      <c r="E106">
        <f t="shared" si="4"/>
        <v>1.002093081478175</v>
      </c>
      <c r="F106">
        <f t="shared" si="5"/>
        <v>0.22212521424974338</v>
      </c>
      <c r="G106">
        <f t="shared" si="6"/>
        <v>3.8590829303147049E-2</v>
      </c>
      <c r="H106">
        <f t="shared" si="7"/>
        <v>6.1724391518871387E-2</v>
      </c>
      <c r="I106">
        <f t="shared" si="8"/>
        <v>1</v>
      </c>
      <c r="J106">
        <f t="shared" si="9"/>
        <v>1</v>
      </c>
      <c r="K106">
        <f t="shared" si="10"/>
        <v>65.029192465000705</v>
      </c>
      <c r="L106">
        <f t="shared" si="11"/>
        <v>1.0042799955563799</v>
      </c>
      <c r="M106">
        <f t="shared" si="12"/>
        <v>0.85143470513443076</v>
      </c>
    </row>
    <row r="107" spans="1:13" x14ac:dyDescent="0.25">
      <c r="A107" t="s">
        <v>129</v>
      </c>
      <c r="B107">
        <f t="shared" si="1"/>
        <v>0.28772846590470014</v>
      </c>
      <c r="C107">
        <f t="shared" si="2"/>
        <v>39.060121203198207</v>
      </c>
      <c r="D107">
        <f t="shared" si="3"/>
        <v>1.0049629315732038</v>
      </c>
      <c r="E107">
        <f t="shared" si="4"/>
        <v>1.002093081478175</v>
      </c>
      <c r="F107">
        <f t="shared" si="5"/>
        <v>0.22546339401152557</v>
      </c>
      <c r="G107">
        <f t="shared" si="6"/>
        <v>3.8782352948331759E-2</v>
      </c>
      <c r="H107">
        <f t="shared" si="7"/>
        <v>6.2030725450377189E-2</v>
      </c>
      <c r="I107">
        <f t="shared" si="8"/>
        <v>1</v>
      </c>
      <c r="J107">
        <f t="shared" si="9"/>
        <v>1</v>
      </c>
      <c r="K107">
        <f t="shared" si="10"/>
        <v>65.133985290070314</v>
      </c>
      <c r="L107">
        <f t="shared" si="11"/>
        <v>1.0042799955563799</v>
      </c>
      <c r="M107">
        <f t="shared" si="12"/>
        <v>0.85122234294414334</v>
      </c>
    </row>
    <row r="108" spans="1:13" x14ac:dyDescent="0.25">
      <c r="A108" t="s">
        <v>130</v>
      </c>
      <c r="B108">
        <f t="shared" si="1"/>
        <v>0.28772846590470014</v>
      </c>
      <c r="C108">
        <f t="shared" si="2"/>
        <v>39.104436713728617</v>
      </c>
      <c r="D108">
        <f t="shared" si="3"/>
        <v>1.0049629315732038</v>
      </c>
      <c r="E108">
        <f t="shared" si="4"/>
        <v>1.002093081478175</v>
      </c>
      <c r="F108">
        <f t="shared" si="5"/>
        <v>0.22885174117172585</v>
      </c>
      <c r="G108">
        <f t="shared" si="6"/>
        <v>3.8974827112262168E-2</v>
      </c>
      <c r="H108">
        <f t="shared" si="7"/>
        <v>6.2338579696223605E-2</v>
      </c>
      <c r="I108">
        <f t="shared" si="8"/>
        <v>1</v>
      </c>
      <c r="J108">
        <f t="shared" si="9"/>
        <v>1</v>
      </c>
      <c r="K108">
        <f t="shared" si="10"/>
        <v>65.23894698600806</v>
      </c>
      <c r="L108">
        <f t="shared" si="11"/>
        <v>1.0042799955563799</v>
      </c>
      <c r="M108">
        <f t="shared" si="12"/>
        <v>0.85101003372057149</v>
      </c>
    </row>
    <row r="109" spans="1:13" x14ac:dyDescent="0.25">
      <c r="A109" t="s">
        <v>131</v>
      </c>
      <c r="B109">
        <f t="shared" si="1"/>
        <v>0.28772846590470014</v>
      </c>
      <c r="C109">
        <f t="shared" si="2"/>
        <v>39.148802502251336</v>
      </c>
      <c r="D109">
        <f t="shared" si="3"/>
        <v>1.0049629315732038</v>
      </c>
      <c r="E109">
        <f t="shared" si="4"/>
        <v>1.002093081478175</v>
      </c>
      <c r="F109">
        <f t="shared" si="5"/>
        <v>0.23229100966453703</v>
      </c>
      <c r="G109">
        <f t="shared" si="6"/>
        <v>3.9168256512297772E-2</v>
      </c>
      <c r="H109">
        <f t="shared" si="7"/>
        <v>6.264796180162667E-2</v>
      </c>
      <c r="I109">
        <f t="shared" si="8"/>
        <v>1</v>
      </c>
      <c r="J109">
        <f t="shared" si="9"/>
        <v>1</v>
      </c>
      <c r="K109">
        <f t="shared" si="10"/>
        <v>65.34407782494489</v>
      </c>
      <c r="L109">
        <f t="shared" si="11"/>
        <v>1.0042799955563799</v>
      </c>
      <c r="M109">
        <f t="shared" si="12"/>
        <v>0.85079777745050444</v>
      </c>
    </row>
    <row r="110" spans="1:13" x14ac:dyDescent="0.25">
      <c r="A110" t="s">
        <v>132</v>
      </c>
      <c r="B110">
        <f t="shared" si="1"/>
        <v>0.28772846590470014</v>
      </c>
      <c r="C110">
        <f t="shared" si="2"/>
        <v>39.193218625809074</v>
      </c>
      <c r="D110">
        <f t="shared" si="3"/>
        <v>1.0049629315732038</v>
      </c>
      <c r="E110">
        <f t="shared" si="4"/>
        <v>1.002093081478175</v>
      </c>
      <c r="F110">
        <f t="shared" si="5"/>
        <v>0.23578196475455335</v>
      </c>
      <c r="G110">
        <f t="shared" si="6"/>
        <v>3.9362645889209999E-2</v>
      </c>
      <c r="H110">
        <f t="shared" si="7"/>
        <v>6.2958879349248834E-2</v>
      </c>
      <c r="I110">
        <f t="shared" si="8"/>
        <v>1</v>
      </c>
      <c r="J110">
        <f t="shared" si="9"/>
        <v>1</v>
      </c>
      <c r="K110">
        <f t="shared" si="10"/>
        <v>65.449378079450284</v>
      </c>
      <c r="L110">
        <f t="shared" si="11"/>
        <v>1.0042799955563799</v>
      </c>
      <c r="M110">
        <f t="shared" si="12"/>
        <v>0.85058557412073466</v>
      </c>
    </row>
    <row r="111" spans="1:13" x14ac:dyDescent="0.25">
      <c r="A111" t="s">
        <v>133</v>
      </c>
      <c r="B111">
        <f t="shared" si="1"/>
        <v>0.28772846590470014</v>
      </c>
      <c r="C111">
        <f t="shared" si="2"/>
        <v>39.237685141509246</v>
      </c>
      <c r="D111">
        <f t="shared" si="3"/>
        <v>1.0049629315732038</v>
      </c>
      <c r="E111">
        <f t="shared" si="4"/>
        <v>1.002093081478175</v>
      </c>
      <c r="F111">
        <f t="shared" si="5"/>
        <v>0.2393253832070481</v>
      </c>
      <c r="G111">
        <f t="shared" si="6"/>
        <v>3.9558000007298401E-2</v>
      </c>
      <c r="H111">
        <f t="shared" si="7"/>
        <v>6.3271339959384748E-2</v>
      </c>
      <c r="I111">
        <f t="shared" si="8"/>
        <v>1</v>
      </c>
      <c r="J111">
        <f t="shared" si="9"/>
        <v>1</v>
      </c>
      <c r="K111">
        <f t="shared" si="10"/>
        <v>65.554848022532937</v>
      </c>
      <c r="L111">
        <f t="shared" si="11"/>
        <v>1.0042799955563799</v>
      </c>
      <c r="M111">
        <f t="shared" si="12"/>
        <v>0.85037342371805802</v>
      </c>
    </row>
    <row r="112" spans="1:13" x14ac:dyDescent="0.25">
      <c r="A112" t="s">
        <v>134</v>
      </c>
      <c r="B112">
        <f t="shared" si="1"/>
        <v>0.28772846590470014</v>
      </c>
      <c r="C112">
        <f t="shared" si="2"/>
        <v>39.282202106524068</v>
      </c>
      <c r="D112">
        <f t="shared" si="3"/>
        <v>1.0049629315732038</v>
      </c>
      <c r="E112">
        <f t="shared" si="4"/>
        <v>1.002093081478175</v>
      </c>
      <c r="F112">
        <f t="shared" si="5"/>
        <v>0.24292205346080997</v>
      </c>
      <c r="G112">
        <f t="shared" si="6"/>
        <v>3.9754323654507422E-2</v>
      </c>
      <c r="H112">
        <f t="shared" si="7"/>
        <v>6.3585351290148084E-2</v>
      </c>
      <c r="I112">
        <f t="shared" si="8"/>
        <v>1</v>
      </c>
      <c r="J112">
        <f t="shared" si="9"/>
        <v>1</v>
      </c>
      <c r="K112">
        <f t="shared" si="10"/>
        <v>65.660487927641512</v>
      </c>
      <c r="L112">
        <f t="shared" si="11"/>
        <v>1.0042799955563799</v>
      </c>
      <c r="M112">
        <f t="shared" si="12"/>
        <v>0.85016132622927354</v>
      </c>
    </row>
    <row r="113" spans="1:13" x14ac:dyDescent="0.25">
      <c r="A113" t="s">
        <v>135</v>
      </c>
      <c r="B113">
        <f t="shared" si="1"/>
        <v>0.28772846590470014</v>
      </c>
      <c r="C113">
        <f t="shared" si="2"/>
        <v>39.326769578090612</v>
      </c>
      <c r="D113">
        <f t="shared" si="3"/>
        <v>1.0049629315732038</v>
      </c>
      <c r="E113">
        <f t="shared" si="4"/>
        <v>1.002093081478175</v>
      </c>
      <c r="F113">
        <f t="shared" si="5"/>
        <v>0.24657277580357698</v>
      </c>
      <c r="G113">
        <f t="shared" si="6"/>
        <v>3.995162164254374E-2</v>
      </c>
      <c r="H113">
        <f t="shared" si="7"/>
        <v>6.3900921037659222E-2</v>
      </c>
      <c r="I113">
        <f t="shared" si="8"/>
        <v>1</v>
      </c>
      <c r="J113">
        <f t="shared" si="9"/>
        <v>1</v>
      </c>
      <c r="K113">
        <f t="shared" si="10"/>
        <v>65.766298068665321</v>
      </c>
      <c r="L113">
        <f t="shared" si="11"/>
        <v>1.0042799955563799</v>
      </c>
      <c r="M113">
        <f t="shared" si="12"/>
        <v>0.84994928164118355</v>
      </c>
    </row>
    <row r="114" spans="1:13" x14ac:dyDescent="0.25">
      <c r="A114" t="s">
        <v>136</v>
      </c>
      <c r="B114">
        <f t="shared" si="1"/>
        <v>0.28772846590470014</v>
      </c>
      <c r="C114">
        <f t="shared" si="2"/>
        <v>39.371387613510898</v>
      </c>
      <c r="D114">
        <f t="shared" si="3"/>
        <v>1.0049629315732038</v>
      </c>
      <c r="E114">
        <f t="shared" si="4"/>
        <v>1.002093081478175</v>
      </c>
      <c r="F114">
        <f t="shared" si="5"/>
        <v>0.25027836255010683</v>
      </c>
      <c r="G114">
        <f t="shared" si="6"/>
        <v>4.0149898806994211E-2</v>
      </c>
      <c r="H114">
        <f t="shared" si="7"/>
        <v>6.4218056936233822E-2</v>
      </c>
      <c r="I114">
        <f t="shared" si="8"/>
        <v>1</v>
      </c>
      <c r="J114">
        <f t="shared" si="9"/>
        <v>1</v>
      </c>
      <c r="K114">
        <f t="shared" si="10"/>
        <v>65.872278719935053</v>
      </c>
      <c r="L114">
        <f t="shared" si="11"/>
        <v>1.0042799955563799</v>
      </c>
      <c r="M114">
        <f t="shared" si="12"/>
        <v>0.84973728994059383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George</dc:creator>
  <cp:lastModifiedBy>Adam George</cp:lastModifiedBy>
  <dcterms:created xsi:type="dcterms:W3CDTF">2024-08-14T14:48:13Z</dcterms:created>
  <dcterms:modified xsi:type="dcterms:W3CDTF">2026-02-18T13:34:47Z</dcterms:modified>
</cp:coreProperties>
</file>